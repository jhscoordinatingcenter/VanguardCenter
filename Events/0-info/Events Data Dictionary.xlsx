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https://ummc-my.sharepoint.com/personal/lcain_umc_edu/Documents/CCDC/Events/CVD Events/1-data/2014 Data/Codebook/"/>
    </mc:Choice>
  </mc:AlternateContent>
  <bookViews>
    <workbookView xWindow="0" yWindow="0" windowWidth="28800" windowHeight="12720"/>
  </bookViews>
  <sheets>
    <sheet name="Cover Sheet" sheetId="9" r:id="rId1"/>
    <sheet name="CHD" sheetId="1" r:id="rId2"/>
    <sheet name="Stroke" sheetId="3" r:id="rId3"/>
    <sheet name="Heart Failure" sheetId="4" r:id="rId4"/>
  </sheets>
  <calcPr calcId="152511"/>
</workbook>
</file>

<file path=xl/calcChain.xml><?xml version="1.0" encoding="utf-8"?>
<calcChain xmlns="http://schemas.openxmlformats.org/spreadsheetml/2006/main">
  <c r="D3" i="4" l="1"/>
  <c r="D4" i="4" s="1"/>
  <c r="D5" i="4" s="1"/>
  <c r="D6" i="4" s="1"/>
  <c r="D7" i="4" s="1"/>
  <c r="D8" i="4" s="1"/>
  <c r="D9" i="4" s="1"/>
  <c r="D10" i="4" s="1"/>
  <c r="D4" i="3"/>
  <c r="D5" i="3"/>
  <c r="D6" i="3"/>
  <c r="D7" i="3" s="1"/>
  <c r="D8" i="3" s="1"/>
  <c r="D9" i="3" s="1"/>
  <c r="D10" i="3" s="1"/>
  <c r="D11" i="3" s="1"/>
  <c r="D12" i="3" s="1"/>
  <c r="D13" i="3" s="1"/>
  <c r="D14" i="3" s="1"/>
  <c r="D15" i="3" s="1"/>
  <c r="D3" i="3"/>
  <c r="D3" i="1"/>
  <c r="D4" i="1" s="1"/>
  <c r="D5" i="1" s="1"/>
  <c r="D6" i="1" s="1"/>
  <c r="D7" i="1" s="1"/>
  <c r="D8" i="1" s="1"/>
  <c r="D9" i="1" s="1"/>
  <c r="D10" i="1" l="1"/>
  <c r="D11" i="1" s="1"/>
  <c r="D12" i="1" l="1"/>
  <c r="D13" i="1" s="1"/>
  <c r="D14" i="1" s="1"/>
  <c r="D15" i="1" s="1"/>
  <c r="D16" i="1" s="1"/>
  <c r="D17" i="1" s="1"/>
  <c r="D18" i="1" s="1"/>
</calcChain>
</file>

<file path=xl/sharedStrings.xml><?xml version="1.0" encoding="utf-8"?>
<sst xmlns="http://schemas.openxmlformats.org/spreadsheetml/2006/main" count="275" uniqueCount="152">
  <si>
    <t>Category</t>
  </si>
  <si>
    <t>Section</t>
  </si>
  <si>
    <t xml:space="preserve">Var </t>
  </si>
  <si>
    <t>Name</t>
  </si>
  <si>
    <t>Label</t>
  </si>
  <si>
    <t>Formats</t>
  </si>
  <si>
    <t>Description</t>
  </si>
  <si>
    <t>Definition</t>
  </si>
  <si>
    <t>Reference</t>
  </si>
  <si>
    <t>Comments</t>
  </si>
  <si>
    <t>Data Notes</t>
  </si>
  <si>
    <t>CFATALDX</t>
  </si>
  <si>
    <t>Death classification of an event</t>
  </si>
  <si>
    <t>$14</t>
  </si>
  <si>
    <t>CMIDX</t>
  </si>
  <si>
    <t>MI classification of an event</t>
  </si>
  <si>
    <t>$8</t>
  </si>
  <si>
    <t>String variable for MI classification</t>
  </si>
  <si>
    <t>FatalCHD</t>
  </si>
  <si>
    <t>BEST12</t>
  </si>
  <si>
    <t>Binary indicator for fatal CHD status</t>
  </si>
  <si>
    <t>MI</t>
  </si>
  <si>
    <t>Binary indicator for MI status</t>
  </si>
  <si>
    <t>=0, if non-MI
=1, if MI</t>
  </si>
  <si>
    <t>CHD</t>
  </si>
  <si>
    <t>Dataset</t>
  </si>
  <si>
    <t>ALLEVTCHD</t>
  </si>
  <si>
    <t>days</t>
  </si>
  <si>
    <t>Number of days from V1 clinic visit</t>
  </si>
  <si>
    <t>INCEVTCHD</t>
  </si>
  <si>
    <t>years</t>
  </si>
  <si>
    <t>Number of years from V1 clinic visit</t>
  </si>
  <si>
    <t>=days/365.25</t>
  </si>
  <si>
    <t>Type of contact for CHD status</t>
  </si>
  <si>
    <t>='NONCHDDTH', if non-CHD death
='NONFAT', if non-fatal CHD / MI?
='DEFFATCHD', if fatal CHD
='DEFFATMI', if fatal MI
='POSSFATCHD', if possible fatal CHD</t>
  </si>
  <si>
    <t>Heart Failure</t>
  </si>
  <si>
    <t>EventDate</t>
  </si>
  <si>
    <t>MMDDYY10</t>
  </si>
  <si>
    <t>ALLEVTHF</t>
  </si>
  <si>
    <t>Stroke</t>
  </si>
  <si>
    <t>FINAL_DX</t>
  </si>
  <si>
    <t>Formatted Final Diagnosis</t>
  </si>
  <si>
    <t>Final Diagnosis</t>
  </si>
  <si>
    <t>ALLEVTSTROKE</t>
  </si>
  <si>
    <t>Definite/Probable Stroke</t>
  </si>
  <si>
    <t>EIB</t>
  </si>
  <si>
    <t>Definite/Probable Brain Infarction, Non-carotid Embolic (EIB)</t>
  </si>
  <si>
    <t>Indicator variable for EIB</t>
  </si>
  <si>
    <t xml:space="preserve">=0, if not EIB
=1, if definite or probable EIB
</t>
  </si>
  <si>
    <t>TIB</t>
  </si>
  <si>
    <t>Definite/Probable Brain Infarction, Thrombotic (TIB)</t>
  </si>
  <si>
    <t>Indicator variable for TIB</t>
  </si>
  <si>
    <t>Indicator variable for stroke</t>
  </si>
  <si>
    <t xml:space="preserve">=0, if not TIB
=1, if definite or probable TIB
</t>
  </si>
  <si>
    <t>IPH</t>
  </si>
  <si>
    <t>Definite/Probable Brain Hemorrhage (IPH)</t>
  </si>
  <si>
    <t>Indicator variable for IPH</t>
  </si>
  <si>
    <t xml:space="preserve">=0, if not IPH
=1, if definite or probable IPH
</t>
  </si>
  <si>
    <t>SAH</t>
  </si>
  <si>
    <t>Definite/Probable Subarachnoid Hemorrhage (SAH)</t>
  </si>
  <si>
    <t>Indicator variable for SAH</t>
  </si>
  <si>
    <t xml:space="preserve">=0, if not SAH
=1, if definite or probable SAH
</t>
  </si>
  <si>
    <t>OHDStroke</t>
  </si>
  <si>
    <t>Type of contact for stroke status</t>
  </si>
  <si>
    <t>INCEVTSTROKE</t>
  </si>
  <si>
    <t>Binary indicator for stroke</t>
  </si>
  <si>
    <t>stroke</t>
  </si>
  <si>
    <t>Directly from ARIC data
String variable for death classification</t>
  </si>
  <si>
    <t xml:space="preserve">Indicator variable for out-of-hospital death with stroke code </t>
  </si>
  <si>
    <t xml:space="preserve">=0, if no OHD with stroke code
=1, if OHD with stroke code
</t>
  </si>
  <si>
    <t>Type of HF diagnosis</t>
  </si>
  <si>
    <t>HF event date, takes the date of admission</t>
  </si>
  <si>
    <t>="Definite/Probable Decompensated HF", if decompensated HF
="Chronic Stable HF", if chronic stable HF</t>
  </si>
  <si>
    <t>CHFDiagnosis</t>
  </si>
  <si>
    <t>$30</t>
  </si>
  <si>
    <t>=NO-MI', if event was not MI
='SUSPMI', if event was a suspected MI
='PROBMI', if event was a probable MI
='DEFMI', if event was definitely MI
='NO-HOSP', if death did not occur in hospital</t>
  </si>
  <si>
    <t>hardCHD</t>
  </si>
  <si>
    <t>hardyears</t>
  </si>
  <si>
    <t>harddays</t>
  </si>
  <si>
    <t>hardContact</t>
  </si>
  <si>
    <t>V1date</t>
  </si>
  <si>
    <t>MMDDYY10.</t>
  </si>
  <si>
    <t>Incidence assessment start time point</t>
  </si>
  <si>
    <t>date</t>
  </si>
  <si>
    <t>event date or censoring date</t>
  </si>
  <si>
    <t>HF</t>
  </si>
  <si>
    <t>examdate</t>
  </si>
  <si>
    <t>either 01/01/2005 for subjects with cat = 4 or first AFU after 01/01/2005 for subjects with cat = 8</t>
  </si>
  <si>
    <t>INCEVTHFDER</t>
  </si>
  <si>
    <t>Number of days from examdate</t>
  </si>
  <si>
    <t>Number of years from examdate</t>
  </si>
  <si>
    <t>=Date-Examdate</t>
  </si>
  <si>
    <t>=Date-V1date</t>
  </si>
  <si>
    <t>Type of contact for hardCHD status</t>
  </si>
  <si>
    <t>Binary indicator for presence of CHD including Fatal CHD, MI and Cardiac Proc</t>
  </si>
  <si>
    <t>Binary indicator for presence of hardCHD including Fatal CHD and MI</t>
  </si>
  <si>
    <t xml:space="preserve">=0, if not stroke
=1, if definite or probable stroke (all values are 1)
</t>
  </si>
  <si>
    <t>Vist 1 date</t>
  </si>
  <si>
    <t>Visit 1 date</t>
  </si>
  <si>
    <t>harddate</t>
  </si>
  <si>
    <t>event date or censoring date for hard CHD</t>
  </si>
  <si>
    <t>=hardDate-V1date</t>
  </si>
  <si>
    <t>=harddays/365.25</t>
  </si>
  <si>
    <t>Date of HF Hospitalization event</t>
  </si>
  <si>
    <t>Indicator variable of type of HF Hospitalization</t>
  </si>
  <si>
    <t>Binary indicator for presence of HF Hospitalization</t>
  </si>
  <si>
    <t>Type of contact for HF Hospitalization status</t>
  </si>
  <si>
    <t>JHS Mission:</t>
  </si>
  <si>
    <t>"Since there is a greater prevalence of cardiovascular disease among African Americans, the purpose of the Jackson Heart Study is to explore the reasons for this disparity and to uncover new approaches to reduce it. In addressing its mission, the Jackson Heart Study values accountability, commitment, competency, collaboration, excellence, respect, teamwork, and trust."</t>
  </si>
  <si>
    <t>Goal:</t>
  </si>
  <si>
    <t xml:space="preserve">JHS data coordination models for Transparent and Reproducible Research will be transformative in facilitating population study research. </t>
  </si>
  <si>
    <t>Description:</t>
  </si>
  <si>
    <t>Dictionary Use:</t>
  </si>
  <si>
    <t xml:space="preserve">The Events Dataset Warehouse described in this dictionary is intended to optimize the use of the Jackson Heart Study data by its collaborators and affiliates </t>
  </si>
  <si>
    <t>Each worksheet in this workbook contains variable names, descriptions, and definitions</t>
  </si>
  <si>
    <t>V1DATE: Date of Exam 1 Clinic Visit</t>
  </si>
  <si>
    <t>Incidence CHD</t>
  </si>
  <si>
    <t>CHD Event or Censoring Date</t>
  </si>
  <si>
    <t>CHD Follow-up Years</t>
  </si>
  <si>
    <t>CHD Follow-up Days</t>
  </si>
  <si>
    <t>Incidence hardCHD</t>
  </si>
  <si>
    <t>Hard CHD Event or Censoring Date</t>
  </si>
  <si>
    <t>Hard CHD Follow-up Days</t>
  </si>
  <si>
    <t>Hard CHD Follow-up Years</t>
  </si>
  <si>
    <t>Hard CHD Last Contact Type</t>
  </si>
  <si>
    <t>='PROB_TIB', if probable TIB
='DEF_TIB', if definite TIB
='PROB_EIB', if probable EIB
='DEF_EIB', if definite EIB
='DEF_IPH', if definite IPH
='PROB_SAH', if probable SAH
='DEF_SAH', if definite SAH</t>
  </si>
  <si>
    <t>Incidence Stroke</t>
  </si>
  <si>
    <t>Event or Censoring Date</t>
  </si>
  <si>
    <t>Follow-up Days</t>
  </si>
  <si>
    <t>Follow-up Years</t>
  </si>
  <si>
    <t>Last Contact Type</t>
  </si>
  <si>
    <t>Incidence Heart Failure</t>
  </si>
  <si>
    <t>Incidence Assessment Start Point</t>
  </si>
  <si>
    <t>year</t>
  </si>
  <si>
    <t>Event or Censoring Year</t>
  </si>
  <si>
    <t>event date or censoring year</t>
  </si>
  <si>
    <t>CHD Event or Censoring Year</t>
  </si>
  <si>
    <t>hard CHD Event or Censoring Year</t>
  </si>
  <si>
    <t>hardyear</t>
  </si>
  <si>
    <t>event date or censoring year for hard CHD</t>
  </si>
  <si>
    <t>=0, if non-fatal CHD
=1, if fatal CHD</t>
  </si>
  <si>
    <t>=missing, if CHD positive before incidence assessment start time point or consent "No" at V1
=0, if no CHD diagnosis for eligible participants with CHD negative before incidence assessment start time point
=1, if CHD diagnosis for eligible participants with CHD negative before incidence assessment start time point</t>
  </si>
  <si>
    <t>=missing, if hardCHD positive before incidence assessment start time point or consent "No" at V1
'=0, if no hardCHD diagnosis for eligible participants with hardCHD negative before incidence assessment start time point
=1, if hardCHD diagnosis for eligible participants with hardCHD negative before incidence assessment start time point</t>
  </si>
  <si>
    <t>=missing, if stroke positve before incidence assessment start time point or consent "No" at V1
=0, if no stroke for eligible participants with stroke negative before incidence assessment start time point
=1, if stroke for eligible participants with stroke negative before incidence assessment start time point</t>
  </si>
  <si>
    <t>=missing, if self reported HF Hospitalization or uncertain HF Hospitalization status from AFU data before incidence assessment start time point
'=0, if no HF Hospitalization for eligible participants with no self reported HF Hospitalization from AFU data before incidence assessment start time point
'=1, if HF Hospitalization for eligible participants with no self reported HF Hospitalization from AFU data before incidence assessment start time point</t>
  </si>
  <si>
    <t>Self reported AFU data was used to determine HF Hospitalization status on 01/01/2005 on which adjudicated HF Hospitalization process started. Of note, the asesssment start point is 01/01/2005 or time point when the fact of negative HF status is confirmed and all reported HF hospitalization events are adjudicated. The derivation of this data set can be referred two files in the following folder: ...\VanguardCenters\data\Events\0-info\HF Incidence Docs</t>
  </si>
  <si>
    <t>='Censored', no hard CHD events as of administrative censoring date (12/31/2012) or death or refused (not V1, gave negative consent answer for medical record abstraction)
='CHD - Fatal', if event was a fatal CHD
='CHD - MI', if event was a MI
='Previous hardCHD', if previous hardCHD diagnosis through ARIC surveillance
='Previous CHD Hx', if previous CHD history
='Refused', gave negative consent for event surveillance at V1</t>
  </si>
  <si>
    <t>Status</t>
  </si>
  <si>
    <t>CHD Last Contact type</t>
  </si>
  <si>
    <t>= 'CHD - Cardiac Proc', if event was a cardiac procedure
='CHD - Fatal', if event was a fatal CHD
='CHD - MI', if event was a MI
='Previous CHD Hx', if previous CHD history
='Confirmed Deceased' Death confirmed
='No CHD" - Cenosred at administrative cut-off date
='V1 Medical Record Refusal', if refused medical record review at visit 1
='V2 Medical Record Refusal', if refused medical record review at visit 2
='V3 Medical Record Refusal', if refused medical record review at visit 3
='VA Censored', JHS-only participants with reported VA insurance (i.e., Tricare/CHAMPUS) and without an event were censored on 12/31/2012 or decease date if died prior to 12/31/2012 due to lack of access to hospital discharge lists from the Jackson VA Medical Center since 12/31/2012</t>
  </si>
  <si>
    <t>='Confirmed Deceased' Death confirmed
='Hemorrhagic Stroke', if event was a hemorrhagic stroke
='Ischemic Stroke', if event was a ischemic stroke
='SAH', if event was a SAS stroke
='Stroke Hx', if history of previous stroke
='No Stroke" - Cenosred at administrative cut-off date
='V1 Medical Record Refusal', if refused medical record review at visit 1
='V2 Medical Record Refusal', if refused medical record review at visit 2
='V3 Medical Record Refusal', if refused medical record review at visit 3
='VA Censored', JHS-only participants with reported VA insurance (i.e., Tricare/CHAMPUS) and without an event were censored on 12/31/2012 or decease date if died prior to 12/31/2012 due to lack of access to hospital discharge lists from the Jackson VA Medical Center since 12/31/2012</t>
  </si>
  <si>
    <t>='Chronic Stable HF', if event was a Chronic Stable HF
='Confirmed Deceased' Death confirmed
='Definite/Probable Decompensated HF', if event was a decompensated HF
='No HF" - Cenosred at administrative cut-off date
='Previous or Uncertain HF', if self reported previous HF diagnosis or uncertain HF diagnosis by AFU assessment
='V1 Medical Record Refusal', if refused medical record review at visit 1
='V2 Medical Record Refusal', if refused medical record review at visit 2
='V3 Medical Record Refusal', if refused medical record review at visit 3
='VA Censored', JHS-only participants with reported VA insurance (i.e., Tricare/CHAMPUS) and without an event were censored on 12/31/2012 or decease date if died prior to 12/31/2012 due to lack of access to hospital discharge lists from the Jackson VA Medical Center since 12/31/2012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</si>
</sst>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6" formatCode="&quot;$&quot;#,##0_);[Red]\(&quot;$&quot;#,##0\)"/>
  </numFmts>
  <fonts count="9" x14ac:knownFonts="1">
    <font>
      <sz val="11"/>
      <color theme="1"/>
      <name val="Calibri"/>
      <family val="2"/>
      <scheme val="minor"/>
    </font>
    <font>
      <sz val="10"/>
      <color theme="1"/>
      <name val="Calibri"/>
      <family val="2"/>
      <scheme val="minor"/>
    </font>
    <font>
      <b/>
      <sz val="10"/>
      <color rgb="FF000000"/>
      <name val="Calibri"/>
      <family val="2"/>
    </font>
    <font>
      <sz val="10"/>
      <color rgb="FF000000"/>
      <name val="Calibri"/>
      <family val="2"/>
    </font>
    <font>
      <sz val="10"/>
      <name val="Calibri"/>
      <family val="2"/>
    </font>
    <font>
      <sz val="10"/>
      <color rgb="FFFF0000"/>
      <name val="Calibri"/>
      <family val="2"/>
    </font>
    <font>
      <sz val="10"/>
      <name val="Calibri"/>
      <family val="2"/>
      <scheme val="minor"/>
    </font>
    <font>
      <b/>
      <sz val="11"/>
      <color theme="1"/>
      <name val="Calibri"/>
      <family val="2"/>
      <scheme val="minor"/>
    </font>
    <font>
      <i/>
      <sz val="9"/>
      <color rgb="FF666666"/>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9">
    <xf numFmtId="0" fontId="0" fillId="0" borderId="0" xfId="0"/>
    <xf numFmtId="0" fontId="2" fillId="0" borderId="1" xfId="0"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0" fontId="2" fillId="0" borderId="0"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49" fontId="3" fillId="0" borderId="1" xfId="0" quotePrefix="1" applyNumberFormat="1" applyFont="1" applyFill="1" applyBorder="1" applyAlignment="1">
      <alignment horizontal="center" vertical="center" wrapText="1"/>
    </xf>
    <xf numFmtId="0" fontId="3" fillId="0" borderId="1" xfId="0" applyFont="1" applyFill="1" applyBorder="1" applyAlignment="1">
      <alignment horizontal="left" vertical="center" wrapText="1"/>
    </xf>
    <xf numFmtId="49" fontId="3" fillId="0" borderId="1" xfId="0" quotePrefix="1" applyNumberFormat="1" applyFont="1" applyFill="1" applyBorder="1" applyAlignment="1">
      <alignment vertical="center" wrapText="1"/>
    </xf>
    <xf numFmtId="49" fontId="4" fillId="0" borderId="1" xfId="0" quotePrefix="1" applyNumberFormat="1" applyFont="1" applyFill="1" applyBorder="1" applyAlignment="1">
      <alignment horizontal="center" vertical="center" wrapText="1"/>
    </xf>
    <xf numFmtId="49" fontId="3" fillId="0" borderId="1" xfId="0" quotePrefix="1" applyNumberFormat="1" applyFont="1" applyFill="1" applyBorder="1" applyAlignment="1">
      <alignment horizontal="left" vertical="center"/>
    </xf>
    <xf numFmtId="49" fontId="3" fillId="0" borderId="1" xfId="0" applyNumberFormat="1" applyFont="1" applyFill="1" applyBorder="1" applyAlignment="1">
      <alignment horizontal="left" vertical="center" wrapText="1"/>
    </xf>
    <xf numFmtId="0" fontId="3" fillId="0" borderId="1" xfId="0" applyFont="1" applyFill="1" applyBorder="1" applyAlignment="1">
      <alignment horizontal="left" vertical="center"/>
    </xf>
    <xf numFmtId="0" fontId="3" fillId="0" borderId="0" xfId="0" applyFont="1" applyFill="1" applyBorder="1" applyAlignment="1">
      <alignment vertical="center"/>
    </xf>
    <xf numFmtId="49" fontId="3" fillId="0" borderId="1" xfId="0" applyNumberFormat="1" applyFont="1" applyFill="1" applyBorder="1" applyAlignment="1">
      <alignment horizontal="left" vertical="center"/>
    </xf>
    <xf numFmtId="0" fontId="4" fillId="0" borderId="1" xfId="0" applyFont="1" applyFill="1" applyBorder="1" applyAlignment="1">
      <alignment horizontal="center" vertical="center" wrapText="1"/>
    </xf>
    <xf numFmtId="49" fontId="5" fillId="0" borderId="1" xfId="0" quotePrefix="1" applyNumberFormat="1" applyFont="1" applyFill="1" applyBorder="1" applyAlignment="1">
      <alignment vertical="center" wrapText="1"/>
    </xf>
    <xf numFmtId="0" fontId="0" fillId="0" borderId="0" xfId="0" applyAlignment="1">
      <alignment horizontal="center"/>
    </xf>
    <xf numFmtId="49" fontId="3" fillId="0" borderId="1" xfId="0" applyNumberFormat="1" applyFont="1" applyFill="1" applyBorder="1" applyAlignment="1">
      <alignment horizontal="center" vertical="center" wrapText="1"/>
    </xf>
    <xf numFmtId="0" fontId="1" fillId="0" borderId="1" xfId="0" applyFont="1" applyBorder="1" applyAlignment="1">
      <alignment horizontal="center"/>
    </xf>
    <xf numFmtId="0" fontId="1" fillId="0" borderId="1" xfId="0" applyFont="1" applyBorder="1"/>
    <xf numFmtId="6" fontId="1" fillId="0" borderId="1" xfId="0" applyNumberFormat="1" applyFont="1" applyBorder="1" applyAlignment="1">
      <alignment horizontal="center" vertical="center"/>
    </xf>
    <xf numFmtId="0" fontId="1" fillId="0" borderId="1" xfId="0" applyFont="1" applyBorder="1" applyAlignment="1">
      <alignment horizontal="center" vertical="center"/>
    </xf>
    <xf numFmtId="49" fontId="5" fillId="0" borderId="1" xfId="0" applyNumberFormat="1" applyFont="1" applyFill="1" applyBorder="1" applyAlignment="1">
      <alignment horizontal="left" vertical="center" wrapText="1"/>
    </xf>
    <xf numFmtId="49" fontId="4" fillId="2" borderId="1" xfId="0" quotePrefix="1" applyNumberFormat="1" applyFont="1" applyFill="1" applyBorder="1" applyAlignment="1">
      <alignment vertical="center" wrapText="1"/>
    </xf>
    <xf numFmtId="0" fontId="0" fillId="0" borderId="0" xfId="0" applyAlignment="1">
      <alignment horizontal="center" vertical="center"/>
    </xf>
    <xf numFmtId="49" fontId="3" fillId="2" borderId="1" xfId="0" applyNumberFormat="1" applyFont="1" applyFill="1" applyBorder="1" applyAlignment="1">
      <alignment horizontal="left" vertical="center" wrapText="1"/>
    </xf>
    <xf numFmtId="49" fontId="4" fillId="0" borderId="1" xfId="0" quotePrefix="1" applyNumberFormat="1" applyFont="1" applyFill="1" applyBorder="1" applyAlignment="1">
      <alignment vertical="center" wrapText="1"/>
    </xf>
    <xf numFmtId="0" fontId="6" fillId="0" borderId="1" xfId="0" quotePrefix="1" applyFont="1" applyBorder="1"/>
    <xf numFmtId="0" fontId="6" fillId="0" borderId="1" xfId="0" quotePrefix="1" applyFont="1" applyBorder="1" applyAlignment="1">
      <alignment wrapText="1"/>
    </xf>
    <xf numFmtId="0" fontId="1" fillId="2" borderId="1" xfId="0" quotePrefix="1" applyFont="1" applyFill="1" applyBorder="1" applyAlignment="1">
      <alignment wrapText="1"/>
    </xf>
    <xf numFmtId="0" fontId="6" fillId="0" borderId="1" xfId="0" quotePrefix="1" applyFont="1" applyBorder="1" applyAlignment="1">
      <alignment vertical="center"/>
    </xf>
    <xf numFmtId="0" fontId="6" fillId="0" borderId="1" xfId="0" quotePrefix="1" applyFont="1" applyBorder="1" applyAlignment="1">
      <alignment vertical="center" wrapText="1"/>
    </xf>
    <xf numFmtId="0" fontId="4" fillId="0" borderId="1" xfId="0" applyFont="1" applyFill="1" applyBorder="1" applyAlignment="1">
      <alignment horizontal="left" vertical="center" wrapText="1"/>
    </xf>
    <xf numFmtId="0" fontId="1" fillId="2" borderId="1" xfId="0" quotePrefix="1" applyFont="1" applyFill="1" applyBorder="1" applyAlignment="1">
      <alignment vertical="center" wrapText="1"/>
    </xf>
    <xf numFmtId="49" fontId="5" fillId="0" borderId="2" xfId="0" applyNumberFormat="1" applyFont="1" applyFill="1" applyBorder="1" applyAlignment="1">
      <alignment horizontal="left" vertical="center" wrapText="1"/>
    </xf>
    <xf numFmtId="0" fontId="0" fillId="0" borderId="0" xfId="0" applyFont="1"/>
    <xf numFmtId="0" fontId="7" fillId="0" borderId="0" xfId="0" applyFont="1" applyAlignment="1">
      <alignment horizontal="right" vertical="center" wrapText="1"/>
    </xf>
    <xf numFmtId="0" fontId="0" fillId="0" borderId="0" xfId="0" applyFont="1" applyAlignment="1">
      <alignment wrapText="1"/>
    </xf>
    <xf numFmtId="0" fontId="7" fillId="0" borderId="0" xfId="0" applyFont="1" applyFill="1" applyAlignment="1">
      <alignment horizontal="right" vertical="center"/>
    </xf>
    <xf numFmtId="0" fontId="0" fillId="0" borderId="0" xfId="0" applyFont="1" applyFill="1" applyAlignment="1">
      <alignment wrapText="1"/>
    </xf>
    <xf numFmtId="0" fontId="3" fillId="0" borderId="1" xfId="0" applyFont="1" applyFill="1" applyBorder="1" applyAlignment="1">
      <alignment vertical="center"/>
    </xf>
    <xf numFmtId="0" fontId="7" fillId="0" borderId="0" xfId="0" applyFont="1" applyAlignment="1">
      <alignment horizontal="left"/>
    </xf>
    <xf numFmtId="0" fontId="8" fillId="0" borderId="0" xfId="0" applyFont="1" applyAlignment="1">
      <alignment horizontal="left" vertical="center" wrapText="1"/>
    </xf>
    <xf numFmtId="0" fontId="2" fillId="0" borderId="2" xfId="0" applyFont="1" applyFill="1" applyBorder="1" applyAlignment="1">
      <alignment horizontal="center" vertical="top" wrapText="1"/>
    </xf>
    <xf numFmtId="0" fontId="2" fillId="0" borderId="3" xfId="0" applyFont="1" applyFill="1" applyBorder="1" applyAlignment="1">
      <alignment horizontal="center" vertical="top" wrapText="1"/>
    </xf>
    <xf numFmtId="0" fontId="2" fillId="0" borderId="4" xfId="0" applyFont="1" applyFill="1" applyBorder="1" applyAlignment="1">
      <alignment horizontal="center" vertical="top" wrapText="1"/>
    </xf>
    <xf numFmtId="49" fontId="3" fillId="0" borderId="2" xfId="0" applyNumberFormat="1" applyFont="1" applyFill="1" applyBorder="1" applyAlignment="1">
      <alignment horizontal="center" vertical="center" wrapText="1"/>
    </xf>
    <xf numFmtId="49" fontId="3" fillId="0" borderId="3"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19050</xdr:colOff>
      <xdr:row>0</xdr:row>
      <xdr:rowOff>178415</xdr:rowOff>
    </xdr:from>
    <xdr:to>
      <xdr:col>8</xdr:col>
      <xdr:colOff>134114</xdr:colOff>
      <xdr:row>13</xdr:row>
      <xdr:rowOff>190499</xdr:rowOff>
    </xdr:to>
    <xdr:pic>
      <xdr:nvPicPr>
        <xdr:cNvPr id="2" name="Picture 1" descr="http://jhs.jsums.edu/jhsinfo/Portals/0/images/JHS_logo_2011.jpg"/>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924675" y="149840"/>
          <a:ext cx="3163064" cy="31839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B1:C18"/>
  <sheetViews>
    <sheetView showGridLines="0" tabSelected="1" workbookViewId="0"/>
  </sheetViews>
  <sheetFormatPr defaultRowHeight="14.4" x14ac:dyDescent="0.3"/>
  <cols>
    <col min="1" max="1" width="3.44140625" customWidth="1"/>
    <col min="2" max="2" width="16.6640625" bestFit="1" customWidth="1"/>
    <col min="3" max="3" width="83.44140625" style="36" customWidth="1"/>
  </cols>
  <sheetData>
    <row r="1" spans="2:3" ht="12" customHeight="1" x14ac:dyDescent="0.3"/>
    <row r="2" spans="2:3" x14ac:dyDescent="0.3">
      <c r="B2" s="42" t="s">
        <v>107</v>
      </c>
      <c r="C2" s="42"/>
    </row>
    <row r="3" spans="2:3" ht="40.5" customHeight="1" x14ac:dyDescent="0.3">
      <c r="B3" s="43" t="s">
        <v>108</v>
      </c>
      <c r="C3" s="43"/>
    </row>
    <row r="5" spans="2:3" ht="28.8" x14ac:dyDescent="0.3">
      <c r="B5" s="37" t="s">
        <v>109</v>
      </c>
      <c r="C5" s="38" t="s">
        <v>110</v>
      </c>
    </row>
    <row r="6" spans="2:3" ht="28.8" x14ac:dyDescent="0.3">
      <c r="B6" s="39" t="s">
        <v>111</v>
      </c>
      <c r="C6" s="40" t="s">
        <v>113</v>
      </c>
    </row>
    <row r="7" spans="2:3" x14ac:dyDescent="0.3">
      <c r="B7" s="39" t="s">
        <v>112</v>
      </c>
      <c r="C7" s="38" t="s">
        <v>114</v>
      </c>
    </row>
    <row r="18" ht="15" customHeight="1" x14ac:dyDescent="0.3"/>
  </sheetData>
  <mergeCells count="2">
    <mergeCell ref="B2:C2"/>
    <mergeCell ref="B3:C3"/>
  </mergeCells>
  <printOptions horizontalCentered="1" verticalCentered="1"/>
  <pageMargins left="0.7" right="0.7" top="0.75" bottom="0.75" header="0.3" footer="0.3"/>
  <pageSetup fitToHeight="0" orientation="landscape"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18"/>
  <sheetViews>
    <sheetView showGridLines="0" workbookViewId="0">
      <pane xSplit="5" ySplit="1" topLeftCell="H2" activePane="bottomRight" state="frozen"/>
      <selection pane="topRight" activeCell="F1" sqref="F1"/>
      <selection pane="bottomLeft" activeCell="A2" sqref="A2"/>
      <selection pane="bottomRight"/>
    </sheetView>
  </sheetViews>
  <sheetFormatPr defaultRowHeight="14.4" x14ac:dyDescent="0.3"/>
  <cols>
    <col min="1" max="1" width="18.6640625" customWidth="1"/>
    <col min="2" max="2" width="6.6640625" bestFit="1" customWidth="1"/>
    <col min="3" max="3" width="30.44140625" style="17" customWidth="1"/>
    <col min="4" max="4" width="3.6640625" bestFit="1" customWidth="1"/>
    <col min="5" max="5" width="13.44140625" customWidth="1"/>
    <col min="6" max="6" width="28.88671875" bestFit="1" customWidth="1"/>
    <col min="7" max="7" width="12.33203125" customWidth="1"/>
    <col min="8" max="8" width="33.6640625" customWidth="1"/>
    <col min="9" max="9" width="96.6640625" customWidth="1"/>
    <col min="11" max="11" width="17.109375" customWidth="1"/>
    <col min="12" max="12" width="9.6640625" bestFit="1" customWidth="1"/>
  </cols>
  <sheetData>
    <row r="1" spans="1:12" s="3" customFormat="1" ht="15" customHeight="1" x14ac:dyDescent="0.3">
      <c r="A1" s="1" t="s">
        <v>0</v>
      </c>
      <c r="B1" s="1" t="s">
        <v>1</v>
      </c>
      <c r="C1" s="2" t="s">
        <v>25</v>
      </c>
      <c r="D1" s="1" t="s">
        <v>2</v>
      </c>
      <c r="E1" s="1" t="s">
        <v>3</v>
      </c>
      <c r="F1" s="1" t="s">
        <v>4</v>
      </c>
      <c r="G1" s="2" t="s">
        <v>5</v>
      </c>
      <c r="H1" s="1" t="s">
        <v>6</v>
      </c>
      <c r="I1" s="2" t="s">
        <v>7</v>
      </c>
      <c r="J1" s="2" t="s">
        <v>8</v>
      </c>
      <c r="K1" s="1" t="s">
        <v>9</v>
      </c>
      <c r="L1" s="1" t="s">
        <v>10</v>
      </c>
    </row>
    <row r="2" spans="1:12" s="13" customFormat="1" ht="89.25" customHeight="1" x14ac:dyDescent="0.3">
      <c r="A2" s="44" t="s">
        <v>24</v>
      </c>
      <c r="B2" s="4">
        <v>2</v>
      </c>
      <c r="C2" s="9" t="s">
        <v>26</v>
      </c>
      <c r="D2" s="4">
        <v>1</v>
      </c>
      <c r="E2" s="4" t="s">
        <v>11</v>
      </c>
      <c r="F2" s="5" t="s">
        <v>12</v>
      </c>
      <c r="G2" s="6" t="s">
        <v>13</v>
      </c>
      <c r="H2" s="7" t="s">
        <v>67</v>
      </c>
      <c r="I2" s="27" t="s">
        <v>34</v>
      </c>
      <c r="J2" s="10"/>
      <c r="K2" s="11"/>
      <c r="L2" s="12"/>
    </row>
    <row r="3" spans="1:12" s="13" customFormat="1" ht="69" x14ac:dyDescent="0.3">
      <c r="A3" s="45"/>
      <c r="B3" s="4">
        <v>2</v>
      </c>
      <c r="C3" s="9" t="s">
        <v>26</v>
      </c>
      <c r="D3" s="4">
        <f>D2+1</f>
        <v>2</v>
      </c>
      <c r="E3" s="4" t="s">
        <v>14</v>
      </c>
      <c r="F3" s="5" t="s">
        <v>15</v>
      </c>
      <c r="G3" s="6" t="s">
        <v>16</v>
      </c>
      <c r="H3" s="7" t="s">
        <v>17</v>
      </c>
      <c r="I3" s="27" t="s">
        <v>75</v>
      </c>
      <c r="J3" s="14"/>
      <c r="K3" s="11"/>
      <c r="L3" s="12"/>
    </row>
    <row r="4" spans="1:12" s="13" customFormat="1" ht="27.6" x14ac:dyDescent="0.3">
      <c r="A4" s="45"/>
      <c r="B4" s="4">
        <v>2</v>
      </c>
      <c r="C4" s="6" t="s">
        <v>26</v>
      </c>
      <c r="D4" s="4">
        <f>D3+1</f>
        <v>3</v>
      </c>
      <c r="E4" s="4" t="s">
        <v>18</v>
      </c>
      <c r="F4" s="5" t="s">
        <v>18</v>
      </c>
      <c r="G4" s="6" t="s">
        <v>19</v>
      </c>
      <c r="H4" s="7" t="s">
        <v>20</v>
      </c>
      <c r="I4" s="8" t="s">
        <v>140</v>
      </c>
      <c r="J4" s="14"/>
      <c r="K4" s="11"/>
      <c r="L4" s="12"/>
    </row>
    <row r="5" spans="1:12" s="13" customFormat="1" ht="27.6" x14ac:dyDescent="0.3">
      <c r="A5" s="45"/>
      <c r="B5" s="4">
        <v>2</v>
      </c>
      <c r="C5" s="6" t="s">
        <v>26</v>
      </c>
      <c r="D5" s="4">
        <f t="shared" ref="D5:D18" si="0">D4+1</f>
        <v>4</v>
      </c>
      <c r="E5" s="4" t="s">
        <v>21</v>
      </c>
      <c r="F5" s="5" t="s">
        <v>21</v>
      </c>
      <c r="G5" s="6" t="s">
        <v>19</v>
      </c>
      <c r="H5" s="7" t="s">
        <v>22</v>
      </c>
      <c r="I5" s="8" t="s">
        <v>23</v>
      </c>
      <c r="J5" s="14"/>
      <c r="K5" s="11"/>
      <c r="L5" s="12"/>
    </row>
    <row r="6" spans="1:12" ht="41.4" x14ac:dyDescent="0.3">
      <c r="A6" s="45"/>
      <c r="B6" s="4">
        <v>2</v>
      </c>
      <c r="C6" s="22" t="s">
        <v>29</v>
      </c>
      <c r="D6" s="4">
        <f>D5+1</f>
        <v>5</v>
      </c>
      <c r="E6" s="4" t="s">
        <v>24</v>
      </c>
      <c r="F6" s="5" t="s">
        <v>116</v>
      </c>
      <c r="G6" s="18" t="s">
        <v>19</v>
      </c>
      <c r="H6" s="7" t="s">
        <v>94</v>
      </c>
      <c r="I6" s="29" t="s">
        <v>141</v>
      </c>
      <c r="J6" s="20"/>
      <c r="K6" s="20"/>
      <c r="L6" s="20"/>
    </row>
    <row r="7" spans="1:12" s="13" customFormat="1" ht="13.8" x14ac:dyDescent="0.3">
      <c r="A7" s="45"/>
      <c r="B7" s="4">
        <v>2</v>
      </c>
      <c r="C7" s="19" t="s">
        <v>29</v>
      </c>
      <c r="D7" s="4">
        <f t="shared" si="0"/>
        <v>6</v>
      </c>
      <c r="E7" s="4" t="s">
        <v>80</v>
      </c>
      <c r="F7" s="4" t="s">
        <v>115</v>
      </c>
      <c r="G7" s="6" t="s">
        <v>81</v>
      </c>
      <c r="H7" s="7" t="s">
        <v>82</v>
      </c>
      <c r="I7" s="8" t="s">
        <v>97</v>
      </c>
      <c r="J7" s="14"/>
      <c r="K7" s="11"/>
      <c r="L7" s="12"/>
    </row>
    <row r="8" spans="1:12" s="13" customFormat="1" ht="13.8" x14ac:dyDescent="0.3">
      <c r="A8" s="45"/>
      <c r="B8" s="4">
        <v>2</v>
      </c>
      <c r="C8" s="19" t="s">
        <v>29</v>
      </c>
      <c r="D8" s="4">
        <f t="shared" si="0"/>
        <v>7</v>
      </c>
      <c r="E8" s="4" t="s">
        <v>83</v>
      </c>
      <c r="F8" s="4" t="s">
        <v>117</v>
      </c>
      <c r="G8" s="6" t="s">
        <v>81</v>
      </c>
      <c r="H8" s="7" t="s">
        <v>84</v>
      </c>
      <c r="I8" s="8"/>
      <c r="J8" s="14"/>
      <c r="K8" s="11"/>
      <c r="L8" s="12"/>
    </row>
    <row r="9" spans="1:12" s="13" customFormat="1" ht="13.8" x14ac:dyDescent="0.3">
      <c r="A9" s="45"/>
      <c r="B9" s="4">
        <v>2</v>
      </c>
      <c r="C9" s="19" t="s">
        <v>29</v>
      </c>
      <c r="D9" s="4">
        <f t="shared" si="0"/>
        <v>8</v>
      </c>
      <c r="E9" s="4" t="s">
        <v>133</v>
      </c>
      <c r="F9" s="4" t="s">
        <v>136</v>
      </c>
      <c r="G9" s="18" t="s">
        <v>19</v>
      </c>
      <c r="H9" s="7" t="s">
        <v>135</v>
      </c>
      <c r="I9" s="8"/>
      <c r="J9" s="14"/>
      <c r="K9" s="11"/>
      <c r="L9" s="12"/>
    </row>
    <row r="10" spans="1:12" x14ac:dyDescent="0.3">
      <c r="A10" s="45"/>
      <c r="B10" s="4">
        <v>2</v>
      </c>
      <c r="C10" s="19" t="s">
        <v>29</v>
      </c>
      <c r="D10" s="4">
        <f t="shared" si="0"/>
        <v>9</v>
      </c>
      <c r="E10" s="4" t="s">
        <v>30</v>
      </c>
      <c r="F10" s="5" t="s">
        <v>118</v>
      </c>
      <c r="G10" s="18" t="s">
        <v>19</v>
      </c>
      <c r="H10" s="7" t="s">
        <v>31</v>
      </c>
      <c r="I10" s="28" t="s">
        <v>32</v>
      </c>
      <c r="J10" s="20"/>
      <c r="K10" s="20"/>
      <c r="L10" s="20"/>
    </row>
    <row r="11" spans="1:12" x14ac:dyDescent="0.3">
      <c r="A11" s="45"/>
      <c r="B11" s="4">
        <v>2</v>
      </c>
      <c r="C11" s="19" t="s">
        <v>29</v>
      </c>
      <c r="D11" s="4">
        <f t="shared" si="0"/>
        <v>10</v>
      </c>
      <c r="E11" s="4" t="s">
        <v>27</v>
      </c>
      <c r="F11" s="5" t="s">
        <v>119</v>
      </c>
      <c r="G11" s="18" t="s">
        <v>19</v>
      </c>
      <c r="H11" s="7" t="s">
        <v>28</v>
      </c>
      <c r="I11" s="28" t="s">
        <v>92</v>
      </c>
      <c r="J11" s="20"/>
      <c r="K11" s="20"/>
      <c r="L11" s="20"/>
    </row>
    <row r="12" spans="1:12" ht="165.6" x14ac:dyDescent="0.3">
      <c r="A12" s="45"/>
      <c r="B12" s="4">
        <v>2</v>
      </c>
      <c r="C12" s="22" t="s">
        <v>29</v>
      </c>
      <c r="D12" s="4">
        <f>D10+1</f>
        <v>10</v>
      </c>
      <c r="E12" s="4" t="s">
        <v>147</v>
      </c>
      <c r="F12" s="5" t="s">
        <v>148</v>
      </c>
      <c r="G12" s="21">
        <v>40</v>
      </c>
      <c r="H12" s="7" t="s">
        <v>33</v>
      </c>
      <c r="I12" s="30" t="s">
        <v>149</v>
      </c>
      <c r="J12" s="20"/>
      <c r="K12" s="20"/>
      <c r="L12" s="20"/>
    </row>
    <row r="13" spans="1:12" ht="45" customHeight="1" x14ac:dyDescent="0.3">
      <c r="A13" s="45"/>
      <c r="B13" s="4">
        <v>2</v>
      </c>
      <c r="C13" s="22" t="s">
        <v>29</v>
      </c>
      <c r="D13" s="4">
        <f t="shared" si="0"/>
        <v>11</v>
      </c>
      <c r="E13" s="4" t="s">
        <v>76</v>
      </c>
      <c r="F13" s="4" t="s">
        <v>120</v>
      </c>
      <c r="G13" s="18" t="s">
        <v>19</v>
      </c>
      <c r="H13" s="7" t="s">
        <v>95</v>
      </c>
      <c r="I13" s="29" t="s">
        <v>142</v>
      </c>
      <c r="J13" s="20"/>
      <c r="K13" s="20"/>
      <c r="L13" s="20"/>
    </row>
    <row r="14" spans="1:12" s="13" customFormat="1" ht="27.6" x14ac:dyDescent="0.3">
      <c r="A14" s="45"/>
      <c r="B14" s="4">
        <v>2</v>
      </c>
      <c r="C14" s="19" t="s">
        <v>29</v>
      </c>
      <c r="D14" s="4">
        <f t="shared" si="0"/>
        <v>12</v>
      </c>
      <c r="E14" s="4" t="s">
        <v>99</v>
      </c>
      <c r="F14" s="4" t="s">
        <v>121</v>
      </c>
      <c r="G14" s="6" t="s">
        <v>81</v>
      </c>
      <c r="H14" s="7" t="s">
        <v>100</v>
      </c>
      <c r="I14" s="8"/>
      <c r="J14" s="14"/>
      <c r="K14" s="11"/>
      <c r="L14" s="12"/>
    </row>
    <row r="15" spans="1:12" s="13" customFormat="1" ht="27.6" x14ac:dyDescent="0.3">
      <c r="A15" s="45"/>
      <c r="B15" s="4">
        <v>2</v>
      </c>
      <c r="C15" s="19" t="s">
        <v>29</v>
      </c>
      <c r="D15" s="4">
        <f t="shared" si="0"/>
        <v>13</v>
      </c>
      <c r="E15" s="4" t="s">
        <v>138</v>
      </c>
      <c r="F15" s="4" t="s">
        <v>137</v>
      </c>
      <c r="G15" s="6" t="s">
        <v>81</v>
      </c>
      <c r="H15" s="7" t="s">
        <v>139</v>
      </c>
      <c r="I15" s="8"/>
      <c r="J15" s="14"/>
      <c r="K15" s="11"/>
      <c r="L15" s="12"/>
    </row>
    <row r="16" spans="1:12" x14ac:dyDescent="0.3">
      <c r="A16" s="45"/>
      <c r="B16" s="4">
        <v>2</v>
      </c>
      <c r="C16" s="19" t="s">
        <v>29</v>
      </c>
      <c r="D16" s="4">
        <f t="shared" si="0"/>
        <v>14</v>
      </c>
      <c r="E16" s="4" t="s">
        <v>77</v>
      </c>
      <c r="F16" s="4" t="s">
        <v>123</v>
      </c>
      <c r="G16" s="18" t="s">
        <v>19</v>
      </c>
      <c r="H16" s="7" t="s">
        <v>31</v>
      </c>
      <c r="I16" s="28" t="s">
        <v>102</v>
      </c>
      <c r="J16" s="20"/>
      <c r="K16" s="20"/>
      <c r="L16" s="20"/>
    </row>
    <row r="17" spans="1:12" x14ac:dyDescent="0.3">
      <c r="A17" s="45"/>
      <c r="B17" s="4">
        <v>2</v>
      </c>
      <c r="C17" s="19" t="s">
        <v>29</v>
      </c>
      <c r="D17" s="4">
        <f t="shared" si="0"/>
        <v>15</v>
      </c>
      <c r="E17" s="4" t="s">
        <v>78</v>
      </c>
      <c r="F17" s="4" t="s">
        <v>122</v>
      </c>
      <c r="G17" s="18" t="s">
        <v>19</v>
      </c>
      <c r="H17" s="7" t="s">
        <v>28</v>
      </c>
      <c r="I17" s="28" t="s">
        <v>101</v>
      </c>
      <c r="J17" s="20"/>
      <c r="K17" s="20"/>
      <c r="L17" s="20"/>
    </row>
    <row r="18" spans="1:12" ht="96.6" x14ac:dyDescent="0.3">
      <c r="A18" s="46"/>
      <c r="B18" s="4">
        <v>2</v>
      </c>
      <c r="C18" s="22" t="s">
        <v>29</v>
      </c>
      <c r="D18" s="4">
        <f t="shared" si="0"/>
        <v>16</v>
      </c>
      <c r="E18" s="4" t="s">
        <v>79</v>
      </c>
      <c r="F18" s="4" t="s">
        <v>124</v>
      </c>
      <c r="G18" s="21">
        <v>50</v>
      </c>
      <c r="H18" s="7" t="s">
        <v>93</v>
      </c>
      <c r="I18" s="30" t="s">
        <v>146</v>
      </c>
      <c r="J18" s="20"/>
      <c r="K18" s="20"/>
      <c r="L18" s="20"/>
    </row>
  </sheetData>
  <mergeCells count="1">
    <mergeCell ref="A2:A18"/>
  </mergeCell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L15"/>
  <sheetViews>
    <sheetView showGridLines="0" workbookViewId="0">
      <pane xSplit="5" ySplit="1" topLeftCell="G8" activePane="bottomRight" state="frozen"/>
      <selection pane="topRight" activeCell="F1" sqref="F1"/>
      <selection pane="bottomLeft" activeCell="A2" sqref="A2"/>
      <selection pane="bottomRight"/>
    </sheetView>
  </sheetViews>
  <sheetFormatPr defaultRowHeight="14.4" x14ac:dyDescent="0.3"/>
  <cols>
    <col min="1" max="1" width="18.6640625" customWidth="1"/>
    <col min="3" max="3" width="14.88671875" customWidth="1"/>
    <col min="5" max="5" width="17.109375" customWidth="1"/>
    <col min="6" max="6" width="28.88671875" bestFit="1" customWidth="1"/>
    <col min="7" max="7" width="12.6640625" style="25" customWidth="1"/>
    <col min="8" max="8" width="32" customWidth="1"/>
    <col min="9" max="9" width="88.33203125" customWidth="1"/>
    <col min="11" max="11" width="13.5546875" customWidth="1"/>
    <col min="12" max="12" width="9.6640625" bestFit="1" customWidth="1"/>
  </cols>
  <sheetData>
    <row r="1" spans="1:12" ht="15" customHeight="1" x14ac:dyDescent="0.3">
      <c r="A1" s="1" t="s">
        <v>0</v>
      </c>
      <c r="B1" s="1" t="s">
        <v>1</v>
      </c>
      <c r="C1" s="2" t="s">
        <v>25</v>
      </c>
      <c r="D1" s="1" t="s">
        <v>2</v>
      </c>
      <c r="E1" s="1" t="s">
        <v>3</v>
      </c>
      <c r="F1" s="1" t="s">
        <v>4</v>
      </c>
      <c r="G1" s="2" t="s">
        <v>5</v>
      </c>
      <c r="H1" s="1" t="s">
        <v>6</v>
      </c>
      <c r="I1" s="2" t="s">
        <v>7</v>
      </c>
      <c r="J1" s="2" t="s">
        <v>8</v>
      </c>
      <c r="K1" s="1" t="s">
        <v>9</v>
      </c>
      <c r="L1" s="1" t="s">
        <v>10</v>
      </c>
    </row>
    <row r="2" spans="1:12" ht="96.6" x14ac:dyDescent="0.3">
      <c r="A2" s="44" t="s">
        <v>39</v>
      </c>
      <c r="B2" s="4">
        <v>3</v>
      </c>
      <c r="C2" s="9" t="s">
        <v>43</v>
      </c>
      <c r="D2" s="4">
        <v>1</v>
      </c>
      <c r="E2" s="4" t="s">
        <v>40</v>
      </c>
      <c r="F2" s="5" t="s">
        <v>41</v>
      </c>
      <c r="G2" s="6" t="s">
        <v>16</v>
      </c>
      <c r="H2" s="7" t="s">
        <v>42</v>
      </c>
      <c r="I2" s="27" t="s">
        <v>125</v>
      </c>
      <c r="J2" s="10"/>
      <c r="K2" s="26"/>
      <c r="L2" s="12"/>
    </row>
    <row r="3" spans="1:12" ht="41.4" x14ac:dyDescent="0.3">
      <c r="A3" s="45"/>
      <c r="B3" s="4">
        <v>3</v>
      </c>
      <c r="C3" s="9" t="s">
        <v>43</v>
      </c>
      <c r="D3" s="4">
        <f>D2+1</f>
        <v>2</v>
      </c>
      <c r="E3" s="4" t="s">
        <v>39</v>
      </c>
      <c r="F3" s="15" t="s">
        <v>44</v>
      </c>
      <c r="G3" s="6" t="s">
        <v>19</v>
      </c>
      <c r="H3" s="7" t="s">
        <v>52</v>
      </c>
      <c r="I3" s="24" t="s">
        <v>96</v>
      </c>
      <c r="J3" s="14"/>
      <c r="K3" s="23"/>
      <c r="L3" s="12"/>
    </row>
    <row r="4" spans="1:12" ht="41.4" x14ac:dyDescent="0.3">
      <c r="A4" s="45"/>
      <c r="B4" s="4">
        <v>3</v>
      </c>
      <c r="C4" s="9" t="s">
        <v>43</v>
      </c>
      <c r="D4" s="4">
        <f t="shared" ref="D4:D15" si="0">D3+1</f>
        <v>3</v>
      </c>
      <c r="E4" s="22" t="s">
        <v>45</v>
      </c>
      <c r="F4" s="5" t="s">
        <v>46</v>
      </c>
      <c r="G4" s="22" t="s">
        <v>19</v>
      </c>
      <c r="H4" s="7" t="s">
        <v>47</v>
      </c>
      <c r="I4" s="24" t="s">
        <v>48</v>
      </c>
      <c r="J4" s="20"/>
      <c r="K4" s="20"/>
      <c r="L4" s="20"/>
    </row>
    <row r="5" spans="1:12" ht="41.4" x14ac:dyDescent="0.3">
      <c r="A5" s="45"/>
      <c r="B5" s="4">
        <v>3</v>
      </c>
      <c r="C5" s="9" t="s">
        <v>43</v>
      </c>
      <c r="D5" s="4">
        <f t="shared" si="0"/>
        <v>4</v>
      </c>
      <c r="E5" s="22" t="s">
        <v>49</v>
      </c>
      <c r="F5" s="5" t="s">
        <v>50</v>
      </c>
      <c r="G5" s="22" t="s">
        <v>19</v>
      </c>
      <c r="H5" s="7" t="s">
        <v>51</v>
      </c>
      <c r="I5" s="24" t="s">
        <v>53</v>
      </c>
      <c r="J5" s="20"/>
      <c r="K5" s="20"/>
      <c r="L5" s="20"/>
    </row>
    <row r="6" spans="1:12" ht="41.4" x14ac:dyDescent="0.3">
      <c r="A6" s="45"/>
      <c r="B6" s="4">
        <v>3</v>
      </c>
      <c r="C6" s="9" t="s">
        <v>43</v>
      </c>
      <c r="D6" s="4">
        <f t="shared" si="0"/>
        <v>5</v>
      </c>
      <c r="E6" s="22" t="s">
        <v>54</v>
      </c>
      <c r="F6" s="5" t="s">
        <v>55</v>
      </c>
      <c r="G6" s="22" t="s">
        <v>19</v>
      </c>
      <c r="H6" s="7" t="s">
        <v>56</v>
      </c>
      <c r="I6" s="24" t="s">
        <v>57</v>
      </c>
      <c r="J6" s="20"/>
      <c r="K6" s="20"/>
      <c r="L6" s="20"/>
    </row>
    <row r="7" spans="1:12" ht="41.4" x14ac:dyDescent="0.3">
      <c r="A7" s="45"/>
      <c r="B7" s="4">
        <v>3</v>
      </c>
      <c r="C7" s="9" t="s">
        <v>43</v>
      </c>
      <c r="D7" s="4">
        <f t="shared" si="0"/>
        <v>6</v>
      </c>
      <c r="E7" s="22" t="s">
        <v>58</v>
      </c>
      <c r="F7" s="5" t="s">
        <v>59</v>
      </c>
      <c r="G7" s="22" t="s">
        <v>19</v>
      </c>
      <c r="H7" s="7" t="s">
        <v>60</v>
      </c>
      <c r="I7" s="24" t="s">
        <v>61</v>
      </c>
      <c r="J7" s="20"/>
      <c r="K7" s="20"/>
      <c r="L7" s="20"/>
    </row>
    <row r="8" spans="1:12" ht="41.4" x14ac:dyDescent="0.3">
      <c r="A8" s="45"/>
      <c r="B8" s="4">
        <v>3</v>
      </c>
      <c r="C8" s="9" t="s">
        <v>43</v>
      </c>
      <c r="D8" s="4">
        <f t="shared" si="0"/>
        <v>7</v>
      </c>
      <c r="E8" s="22" t="s">
        <v>62</v>
      </c>
      <c r="F8" s="5" t="s">
        <v>62</v>
      </c>
      <c r="G8" s="22" t="s">
        <v>19</v>
      </c>
      <c r="H8" s="33" t="s">
        <v>68</v>
      </c>
      <c r="I8" s="27" t="s">
        <v>69</v>
      </c>
      <c r="J8" s="20"/>
      <c r="K8" s="20"/>
      <c r="L8" s="20"/>
    </row>
    <row r="9" spans="1:12" ht="41.4" x14ac:dyDescent="0.3">
      <c r="A9" s="45"/>
      <c r="B9" s="4">
        <v>3</v>
      </c>
      <c r="C9" s="22" t="s">
        <v>64</v>
      </c>
      <c r="D9" s="4">
        <f t="shared" si="0"/>
        <v>8</v>
      </c>
      <c r="E9" s="4" t="s">
        <v>66</v>
      </c>
      <c r="F9" s="5" t="s">
        <v>126</v>
      </c>
      <c r="G9" s="18" t="s">
        <v>19</v>
      </c>
      <c r="H9" s="7" t="s">
        <v>65</v>
      </c>
      <c r="I9" s="32" t="s">
        <v>143</v>
      </c>
      <c r="J9" s="20"/>
      <c r="K9" s="20"/>
      <c r="L9" s="20"/>
    </row>
    <row r="10" spans="1:12" x14ac:dyDescent="0.3">
      <c r="A10" s="45"/>
      <c r="B10" s="4">
        <v>3</v>
      </c>
      <c r="C10" s="22" t="s">
        <v>64</v>
      </c>
      <c r="D10" s="4">
        <f t="shared" si="0"/>
        <v>9</v>
      </c>
      <c r="E10" s="4" t="s">
        <v>80</v>
      </c>
      <c r="F10" s="4" t="s">
        <v>115</v>
      </c>
      <c r="G10" s="6" t="s">
        <v>81</v>
      </c>
      <c r="H10" s="7" t="s">
        <v>82</v>
      </c>
      <c r="I10" s="8" t="s">
        <v>98</v>
      </c>
      <c r="J10" s="20"/>
      <c r="K10" s="20"/>
      <c r="L10" s="20"/>
    </row>
    <row r="11" spans="1:12" x14ac:dyDescent="0.3">
      <c r="A11" s="45"/>
      <c r="B11" s="4">
        <v>3</v>
      </c>
      <c r="C11" s="22" t="s">
        <v>64</v>
      </c>
      <c r="D11" s="4">
        <f t="shared" si="0"/>
        <v>10</v>
      </c>
      <c r="E11" s="4" t="s">
        <v>83</v>
      </c>
      <c r="F11" s="4" t="s">
        <v>127</v>
      </c>
      <c r="G11" s="6" t="s">
        <v>81</v>
      </c>
      <c r="H11" s="7" t="s">
        <v>84</v>
      </c>
      <c r="I11" s="8"/>
      <c r="J11" s="20"/>
      <c r="K11" s="20"/>
      <c r="L11" s="20"/>
    </row>
    <row r="12" spans="1:12" x14ac:dyDescent="0.3">
      <c r="A12" s="45"/>
      <c r="B12" s="4">
        <v>3</v>
      </c>
      <c r="C12" s="22" t="s">
        <v>64</v>
      </c>
      <c r="D12" s="4">
        <f t="shared" si="0"/>
        <v>11</v>
      </c>
      <c r="E12" s="4" t="s">
        <v>133</v>
      </c>
      <c r="F12" s="4" t="s">
        <v>134</v>
      </c>
      <c r="G12" s="18" t="s">
        <v>19</v>
      </c>
      <c r="H12" s="7" t="s">
        <v>135</v>
      </c>
      <c r="I12" s="8"/>
      <c r="J12" s="20"/>
      <c r="K12" s="20"/>
      <c r="L12" s="20"/>
    </row>
    <row r="13" spans="1:12" x14ac:dyDescent="0.3">
      <c r="A13" s="45"/>
      <c r="B13" s="4">
        <v>3</v>
      </c>
      <c r="C13" s="22" t="s">
        <v>64</v>
      </c>
      <c r="D13" s="4">
        <f t="shared" si="0"/>
        <v>12</v>
      </c>
      <c r="E13" s="4" t="s">
        <v>30</v>
      </c>
      <c r="F13" s="5" t="s">
        <v>129</v>
      </c>
      <c r="G13" s="18" t="s">
        <v>19</v>
      </c>
      <c r="H13" s="7" t="s">
        <v>31</v>
      </c>
      <c r="I13" s="31" t="s">
        <v>32</v>
      </c>
      <c r="J13" s="20"/>
      <c r="K13" s="20"/>
      <c r="L13" s="20"/>
    </row>
    <row r="14" spans="1:12" x14ac:dyDescent="0.3">
      <c r="A14" s="45"/>
      <c r="B14" s="4">
        <v>3</v>
      </c>
      <c r="C14" s="22" t="s">
        <v>64</v>
      </c>
      <c r="D14" s="4">
        <f t="shared" si="0"/>
        <v>13</v>
      </c>
      <c r="E14" s="4" t="s">
        <v>27</v>
      </c>
      <c r="F14" s="5" t="s">
        <v>128</v>
      </c>
      <c r="G14" s="18" t="s">
        <v>19</v>
      </c>
      <c r="H14" s="7" t="s">
        <v>28</v>
      </c>
      <c r="I14" s="31" t="s">
        <v>92</v>
      </c>
      <c r="J14" s="20"/>
      <c r="K14" s="20"/>
      <c r="L14" s="20"/>
    </row>
    <row r="15" spans="1:12" ht="165.6" x14ac:dyDescent="0.3">
      <c r="A15" s="46"/>
      <c r="B15" s="4">
        <v>3</v>
      </c>
      <c r="C15" s="22" t="s">
        <v>64</v>
      </c>
      <c r="D15" s="4">
        <f t="shared" si="0"/>
        <v>14</v>
      </c>
      <c r="E15" s="4" t="s">
        <v>147</v>
      </c>
      <c r="F15" s="5" t="s">
        <v>130</v>
      </c>
      <c r="G15" s="21">
        <v>40</v>
      </c>
      <c r="H15" s="7" t="s">
        <v>63</v>
      </c>
      <c r="I15" s="34" t="s">
        <v>150</v>
      </c>
      <c r="J15" s="20"/>
      <c r="K15" s="20"/>
      <c r="L15" s="20"/>
    </row>
  </sheetData>
  <mergeCells count="1">
    <mergeCell ref="A2:A1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L10"/>
  <sheetViews>
    <sheetView showGridLines="0" zoomScaleNormal="100" workbookViewId="0">
      <pane xSplit="5" ySplit="1" topLeftCell="I2" activePane="bottomRight" state="frozen"/>
      <selection pane="topRight" activeCell="F1" sqref="F1"/>
      <selection pane="bottomLeft" activeCell="A2" sqref="A2"/>
      <selection pane="bottomRight"/>
    </sheetView>
  </sheetViews>
  <sheetFormatPr defaultRowHeight="14.4" x14ac:dyDescent="0.3"/>
  <cols>
    <col min="1" max="1" width="18.6640625" customWidth="1"/>
    <col min="3" max="3" width="14.88671875" customWidth="1"/>
    <col min="5" max="5" width="13.6640625" bestFit="1" customWidth="1"/>
    <col min="6" max="6" width="42.44140625" customWidth="1"/>
    <col min="7" max="7" width="13.6640625" customWidth="1"/>
    <col min="8" max="8" width="50.44140625" customWidth="1"/>
    <col min="9" max="9" width="183.109375" customWidth="1"/>
    <col min="11" max="11" width="33.33203125" customWidth="1"/>
    <col min="12" max="12" width="10" bestFit="1" customWidth="1"/>
  </cols>
  <sheetData>
    <row r="1" spans="1:12" ht="15" customHeight="1" x14ac:dyDescent="0.3">
      <c r="A1" s="1" t="s">
        <v>0</v>
      </c>
      <c r="B1" s="1" t="s">
        <v>1</v>
      </c>
      <c r="C1" s="2" t="s">
        <v>25</v>
      </c>
      <c r="D1" s="1" t="s">
        <v>2</v>
      </c>
      <c r="E1" s="1" t="s">
        <v>3</v>
      </c>
      <c r="F1" s="1" t="s">
        <v>4</v>
      </c>
      <c r="G1" s="2" t="s">
        <v>5</v>
      </c>
      <c r="H1" s="1" t="s">
        <v>6</v>
      </c>
      <c r="I1" s="2" t="s">
        <v>7</v>
      </c>
      <c r="J1" s="2" t="s">
        <v>8</v>
      </c>
      <c r="K1" s="1" t="s">
        <v>9</v>
      </c>
      <c r="L1" s="1" t="s">
        <v>10</v>
      </c>
    </row>
    <row r="2" spans="1:12" x14ac:dyDescent="0.3">
      <c r="A2" s="44" t="s">
        <v>35</v>
      </c>
      <c r="B2" s="4">
        <v>4</v>
      </c>
      <c r="C2" s="9" t="s">
        <v>38</v>
      </c>
      <c r="D2" s="4">
        <v>1</v>
      </c>
      <c r="E2" s="4" t="s">
        <v>36</v>
      </c>
      <c r="F2" s="5" t="s">
        <v>71</v>
      </c>
      <c r="G2" s="6" t="s">
        <v>37</v>
      </c>
      <c r="H2" s="7" t="s">
        <v>103</v>
      </c>
      <c r="I2" s="16"/>
      <c r="J2" s="10"/>
      <c r="K2" s="11"/>
      <c r="L2" s="12"/>
    </row>
    <row r="3" spans="1:12" ht="27.6" x14ac:dyDescent="0.3">
      <c r="A3" s="45"/>
      <c r="B3" s="4">
        <v>4</v>
      </c>
      <c r="C3" s="9" t="s">
        <v>38</v>
      </c>
      <c r="D3" s="4">
        <f>D2+1</f>
        <v>2</v>
      </c>
      <c r="E3" s="4" t="s">
        <v>73</v>
      </c>
      <c r="F3" s="15" t="s">
        <v>70</v>
      </c>
      <c r="G3" s="6" t="s">
        <v>74</v>
      </c>
      <c r="H3" s="7" t="s">
        <v>104</v>
      </c>
      <c r="I3" s="24" t="s">
        <v>72</v>
      </c>
      <c r="J3" s="14"/>
      <c r="K3" s="23"/>
      <c r="L3" s="12"/>
    </row>
    <row r="4" spans="1:12" ht="43.5" customHeight="1" x14ac:dyDescent="0.3">
      <c r="A4" s="45"/>
      <c r="B4" s="4">
        <v>4</v>
      </c>
      <c r="C4" s="22" t="s">
        <v>88</v>
      </c>
      <c r="D4" s="4">
        <f t="shared" ref="D4:D10" si="0">D3+1</f>
        <v>3</v>
      </c>
      <c r="E4" s="4" t="s">
        <v>85</v>
      </c>
      <c r="F4" s="5" t="s">
        <v>131</v>
      </c>
      <c r="G4" s="18" t="s">
        <v>19</v>
      </c>
      <c r="H4" s="7" t="s">
        <v>105</v>
      </c>
      <c r="I4" s="29" t="s">
        <v>144</v>
      </c>
      <c r="J4" s="20"/>
      <c r="K4" s="35"/>
      <c r="L4" s="20"/>
    </row>
    <row r="5" spans="1:12" s="13" customFormat="1" ht="12.75" customHeight="1" x14ac:dyDescent="0.3">
      <c r="A5" s="45"/>
      <c r="B5" s="4">
        <v>4</v>
      </c>
      <c r="C5" s="22" t="s">
        <v>88</v>
      </c>
      <c r="D5" s="4">
        <f t="shared" si="0"/>
        <v>4</v>
      </c>
      <c r="E5" s="4" t="s">
        <v>86</v>
      </c>
      <c r="F5" s="4" t="s">
        <v>132</v>
      </c>
      <c r="G5" s="6" t="s">
        <v>81</v>
      </c>
      <c r="H5" s="7" t="s">
        <v>82</v>
      </c>
      <c r="I5" s="8" t="s">
        <v>87</v>
      </c>
      <c r="J5" s="14"/>
      <c r="K5" s="47" t="s">
        <v>145</v>
      </c>
      <c r="L5" s="12"/>
    </row>
    <row r="6" spans="1:12" s="13" customFormat="1" ht="13.8" x14ac:dyDescent="0.3">
      <c r="A6" s="45"/>
      <c r="B6" s="4">
        <v>4</v>
      </c>
      <c r="C6" s="22" t="s">
        <v>88</v>
      </c>
      <c r="D6" s="4">
        <f t="shared" si="0"/>
        <v>5</v>
      </c>
      <c r="E6" s="4" t="s">
        <v>83</v>
      </c>
      <c r="F6" s="4" t="s">
        <v>127</v>
      </c>
      <c r="G6" s="6" t="s">
        <v>81</v>
      </c>
      <c r="H6" s="7" t="s">
        <v>84</v>
      </c>
      <c r="I6" s="41"/>
      <c r="J6" s="14"/>
      <c r="K6" s="48"/>
      <c r="L6" s="12"/>
    </row>
    <row r="7" spans="1:12" s="13" customFormat="1" ht="13.8" x14ac:dyDescent="0.3">
      <c r="A7" s="45"/>
      <c r="B7" s="4">
        <v>4</v>
      </c>
      <c r="C7" s="22" t="s">
        <v>88</v>
      </c>
      <c r="D7" s="4">
        <f t="shared" si="0"/>
        <v>6</v>
      </c>
      <c r="E7" s="4" t="s">
        <v>133</v>
      </c>
      <c r="F7" s="4" t="s">
        <v>134</v>
      </c>
      <c r="G7" s="18" t="s">
        <v>19</v>
      </c>
      <c r="H7" s="7" t="s">
        <v>135</v>
      </c>
      <c r="I7" s="41"/>
      <c r="J7" s="14"/>
      <c r="K7" s="48"/>
      <c r="L7" s="12"/>
    </row>
    <row r="8" spans="1:12" x14ac:dyDescent="0.3">
      <c r="A8" s="45"/>
      <c r="B8" s="4">
        <v>4</v>
      </c>
      <c r="C8" s="22" t="s">
        <v>88</v>
      </c>
      <c r="D8" s="4">
        <f t="shared" si="0"/>
        <v>7</v>
      </c>
      <c r="E8" s="4" t="s">
        <v>30</v>
      </c>
      <c r="F8" s="5" t="s">
        <v>129</v>
      </c>
      <c r="G8" s="18" t="s">
        <v>19</v>
      </c>
      <c r="H8" s="7" t="s">
        <v>90</v>
      </c>
      <c r="I8" s="28" t="s">
        <v>32</v>
      </c>
      <c r="J8" s="20"/>
      <c r="K8" s="48"/>
      <c r="L8" s="20"/>
    </row>
    <row r="9" spans="1:12" x14ac:dyDescent="0.3">
      <c r="A9" s="45"/>
      <c r="B9" s="4">
        <v>4</v>
      </c>
      <c r="C9" s="22" t="s">
        <v>88</v>
      </c>
      <c r="D9" s="4">
        <f t="shared" si="0"/>
        <v>8</v>
      </c>
      <c r="E9" s="4" t="s">
        <v>27</v>
      </c>
      <c r="F9" s="5" t="s">
        <v>128</v>
      </c>
      <c r="G9" s="18" t="s">
        <v>19</v>
      </c>
      <c r="H9" s="7" t="s">
        <v>89</v>
      </c>
      <c r="I9" s="28" t="s">
        <v>91</v>
      </c>
      <c r="J9" s="20"/>
      <c r="K9" s="48"/>
      <c r="L9" s="20"/>
    </row>
    <row r="10" spans="1:12" ht="138" x14ac:dyDescent="0.3">
      <c r="A10" s="45"/>
      <c r="B10" s="4">
        <v>4</v>
      </c>
      <c r="C10" s="22" t="s">
        <v>88</v>
      </c>
      <c r="D10" s="4">
        <f t="shared" si="0"/>
        <v>9</v>
      </c>
      <c r="E10" s="4" t="s">
        <v>147</v>
      </c>
      <c r="F10" s="5" t="s">
        <v>130</v>
      </c>
      <c r="G10" s="21">
        <v>40</v>
      </c>
      <c r="H10" s="7" t="s">
        <v>106</v>
      </c>
      <c r="I10" s="30" t="s">
        <v>151</v>
      </c>
      <c r="J10" s="20"/>
      <c r="K10" s="48"/>
      <c r="L10" s="20"/>
    </row>
  </sheetData>
  <mergeCells count="2">
    <mergeCell ref="K5:K10"/>
    <mergeCell ref="A2:A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Sheet</vt:lpstr>
      <vt:lpstr>CHD</vt:lpstr>
      <vt:lpstr>Stroke</vt:lpstr>
      <vt:lpstr>Heart Failure</vt:lpstr>
    </vt:vector>
  </TitlesOfParts>
  <Company>University of Mississippi Medical Center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Samantha R. Seals</dc:creator>
  <cp:lastModifiedBy>Loretta Cain</cp:lastModifiedBy>
  <dcterms:created xsi:type="dcterms:W3CDTF">2013-12-08T03:04:18Z</dcterms:created>
  <dcterms:modified xsi:type="dcterms:W3CDTF">2018-04-09T17:18:49Z</dcterms:modified>
  <cp:contentStatus/>
</cp:coreProperties>
</file>