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StudyData\dbGaP\1-data\dbGap 2017-09Nov\data\Cohort\0-info\"/>
    </mc:Choice>
  </mc:AlternateContent>
  <bookViews>
    <workbookView xWindow="0" yWindow="0" windowWidth="23040" windowHeight="9396" activeTab="2"/>
  </bookViews>
  <sheets>
    <sheet name="Cover Sheet" sheetId="9" r:id="rId1"/>
    <sheet name="Cohort" sheetId="8" r:id="rId2"/>
    <sheet name="deathltfucohort" sheetId="7" r:id="rId3"/>
    <sheet name="visitdat" sheetId="11" r:id="rId4"/>
  </sheets>
  <calcPr calcId="152511"/>
</workbook>
</file>

<file path=xl/calcChain.xml><?xml version="1.0" encoding="utf-8"?>
<calcChain xmlns="http://schemas.openxmlformats.org/spreadsheetml/2006/main">
  <c r="C4" i="11" l="1"/>
  <c r="C5" i="11" s="1"/>
  <c r="C4" i="7" l="1"/>
  <c r="C5" i="7" s="1"/>
  <c r="C6" i="7" s="1"/>
  <c r="C7" i="7" s="1"/>
  <c r="C8" i="7" s="1"/>
  <c r="C9" i="7" s="1"/>
  <c r="C3" i="8" l="1"/>
  <c r="C4" i="8" s="1"/>
  <c r="C5" i="8" s="1"/>
  <c r="C6" i="8" s="1"/>
  <c r="C7" i="8" s="1"/>
</calcChain>
</file>

<file path=xl/sharedStrings.xml><?xml version="1.0" encoding="utf-8"?>
<sst xmlns="http://schemas.openxmlformats.org/spreadsheetml/2006/main" count="149" uniqueCount="98">
  <si>
    <t>Category</t>
  </si>
  <si>
    <t>Section</t>
  </si>
  <si>
    <t xml:space="preserve">Var </t>
  </si>
  <si>
    <t>Name</t>
  </si>
  <si>
    <t>Label</t>
  </si>
  <si>
    <t>Formats</t>
  </si>
  <si>
    <t>Description</t>
  </si>
  <si>
    <t>Definition</t>
  </si>
  <si>
    <t>Reference</t>
  </si>
  <si>
    <t>Comments</t>
  </si>
  <si>
    <t>Data Notes</t>
  </si>
  <si>
    <t>BEST12</t>
  </si>
  <si>
    <t>Dataset</t>
  </si>
  <si>
    <t>V1date</t>
  </si>
  <si>
    <t>MMDDYY10.</t>
  </si>
  <si>
    <t>Incidence assessment start time point</t>
  </si>
  <si>
    <t>Visit 1 date</t>
  </si>
  <si>
    <t>Mortality</t>
  </si>
  <si>
    <t>lastdate</t>
  </si>
  <si>
    <t>laststatus</t>
  </si>
  <si>
    <t>last contact status</t>
  </si>
  <si>
    <t>ltfuYears</t>
  </si>
  <si>
    <t>YNFMT3.</t>
  </si>
  <si>
    <t>ltfuIND</t>
  </si>
  <si>
    <t xml:space="preserve">Binary indicator for lost of follow up, </t>
  </si>
  <si>
    <t xml:space="preserve">lost follow up time, </t>
  </si>
  <si>
    <t>DEATHLTFUCohort</t>
  </si>
  <si>
    <t>Date</t>
  </si>
  <si>
    <t>date</t>
  </si>
  <si>
    <t>type</t>
  </si>
  <si>
    <t>Type of Contact</t>
  </si>
  <si>
    <t>YearsFromV1</t>
  </si>
  <si>
    <t>Years from Exam Visit 1</t>
  </si>
  <si>
    <t>AFU Final Status</t>
  </si>
  <si>
    <t>BEST12.</t>
  </si>
  <si>
    <t>$18.</t>
  </si>
  <si>
    <t>Cohort</t>
  </si>
  <si>
    <t>age</t>
  </si>
  <si>
    <t>5.1</t>
  </si>
  <si>
    <t>validation1: age</t>
  </si>
  <si>
    <t>Date of contact (MM/DD/YYYY)</t>
  </si>
  <si>
    <t>Continuous measure for years since Clinic Exam 1 (years)</t>
  </si>
  <si>
    <t>= date - V1date</t>
  </si>
  <si>
    <t>cohort: date
validation1: V1date</t>
  </si>
  <si>
    <t>Age (years)</t>
  </si>
  <si>
    <t>complete</t>
  </si>
  <si>
    <t>AFU completion status (Y/N)</t>
  </si>
  <si>
    <t>AFUlong: complete</t>
  </si>
  <si>
    <t>year</t>
  </si>
  <si>
    <t>Year of contact</t>
  </si>
  <si>
    <t>= year(date)</t>
  </si>
  <si>
    <t>cohort: date</t>
  </si>
  <si>
    <t>death</t>
  </si>
  <si>
    <t>Binary indicator for death</t>
  </si>
  <si>
    <t>= AFU completion date, if point-of-contact is AFU contact
= Clinic Exam 1 date, if point-of-contact is Clinic Exam 1
= Clinic Exam 2 date, if point-of-contact is Clinic Exam 2
= Clinic Exam 3 date, if point-of-contact is Clinic Exam 3
= Death date, if point-of-contact is a death certificate confirmed death</t>
  </si>
  <si>
    <t>=0, last contact is AFU Contact or Exams
=1, last contact is death</t>
  </si>
  <si>
    <r>
      <t xml:space="preserve">For laststatus in ('Confirmed Deceased'), ltfuIND = 'No'
for laststatus in ('AFU Contact', 'Exam 1 Contact', 'Exam 2 Contact', 'Exam 3 Contact',), if ltfuyears </t>
    </r>
    <r>
      <rPr>
        <sz val="10"/>
        <color theme="1"/>
        <rFont val="Calibri"/>
        <family val="2"/>
      </rPr>
      <t>≥ 2 then ltfuIND = 'Yes'
if ltfuyears &lt; 2 then ltfuIND = 'No'</t>
    </r>
  </si>
  <si>
    <t>lastyear</t>
  </si>
  <si>
    <t>"C" = "Complete"
"I" = "Incomplete"</t>
  </si>
  <si>
    <t>Suggested by CCDC to be used for mortality incident analysis</t>
  </si>
  <si>
    <t>lastcontactdate</t>
  </si>
  <si>
    <t>death event date or last contact date</t>
  </si>
  <si>
    <t>V1DATE: Date of Exam 1 Clinic Visit</t>
  </si>
  <si>
    <t>Death Indicator</t>
  </si>
  <si>
    <t>Date of Last Contact / Death</t>
  </si>
  <si>
    <t>Last Year Contacted</t>
  </si>
  <si>
    <t>Contact Type / Participant Status</t>
  </si>
  <si>
    <t>Number of years since last contact</t>
  </si>
  <si>
    <t>Lost to Follow-Up</t>
  </si>
  <si>
    <t>Year</t>
  </si>
  <si>
    <t>Participant contact type (AFU or Clinic Exam or Deceased)</t>
  </si>
  <si>
    <t>=year(lastcontactdate)</t>
  </si>
  <si>
    <t>Participatn age based on birth date and contact date, rounded to 0.1 years</t>
  </si>
  <si>
    <t>JHS Mission:</t>
  </si>
  <si>
    <t>"Since there is a greater prevalence of cardiovascular disease among African Americans, the purpose of the Jackson Heart Study is to explore the reasons for this disparity and to uncover new approaches to reduce it. In addressing its mission, the Jackson Heart Study values accountability, commitment, competency, collaboration, excellence, respect, teamwork, and trust."</t>
  </si>
  <si>
    <t>Goal:</t>
  </si>
  <si>
    <t xml:space="preserve">JHS data coordination models for Transparent and Reproducible Research will be transformative in facilitating population study research. </t>
  </si>
  <si>
    <t>Description:</t>
  </si>
  <si>
    <t xml:space="preserve">The AFU Dataset Warehouse described in this dictionary is intended to optimize the use of the Jackson Heart Study data by its collaborators and affiliates </t>
  </si>
  <si>
    <t>Dictionary Use:</t>
  </si>
  <si>
    <t>Each worksheet in this workbook contains variable names, descriptions, form versions, and question numbers</t>
  </si>
  <si>
    <t>death event date or administrative censoring date (12/31/2016)</t>
  </si>
  <si>
    <t>last contact year before admin censoring time (12/31/2016)</t>
  </si>
  <si>
    <t>Visitdat</t>
  </si>
  <si>
    <t>V2date</t>
  </si>
  <si>
    <t>V3date</t>
  </si>
  <si>
    <t>HHID</t>
  </si>
  <si>
    <t>Household ID of the participant</t>
  </si>
  <si>
    <t>visitdat</t>
  </si>
  <si>
    <t>Visit 2 date</t>
  </si>
  <si>
    <t>Visit 3 date</t>
  </si>
  <si>
    <t>V2DATE: Date of Exam 2 Clinic Visit</t>
  </si>
  <si>
    <t>V3DATE: Date of Exam 3 Clinic Visit</t>
  </si>
  <si>
    <t>ltfuyears = 12/31/2016 - lastcontactdate</t>
  </si>
  <si>
    <t>Date of exam 2 Clinic Visit</t>
  </si>
  <si>
    <t>Date of exam 3 Clinic Visit</t>
  </si>
  <si>
    <t>= 'AFU/AFO Version A/B/C/D/E/F', if point-of-contact is AFU contact
= 'Clinic Exam 1', if point-of-contact is Clinic Exam 1
= 'Clinic Exam 2', if point-of-contact is Clinic Exam 2
= 'Clinic Exam 3', if point-of-contact is Clinic Exam 3
= 'Confirmed Deceased', if deceased before 12/31/2016= 'Clinic Exam 3', if point-of-contact is Clinic Exam 3
= 'Refused", if participant refuse AFU contact</t>
  </si>
  <si>
    <t>='AFU Contact', last contact as AFU, censored
='Exam 1 Contact', last contact as Exam 1, censored
='Exam 2 Contact', last contact as Exam 2, censored
='Exam 3 Contact', last contact as Exam 3, censored
='Confirmed Deceased', death events
='Refused", if refused AFU contact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</si>
</sst>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8" x14ac:knownFonts="1">
    <font>
      <sz val="11"/>
      <color theme="1"/>
      <name val="Calibri"/>
      <family val="2"/>
      <scheme val="minor"/>
    </font>
    <font>
      <sz val="10"/>
      <color theme="1"/>
      <name val="Calibri"/>
      <family val="2"/>
      <scheme val="minor"/>
    </font>
    <font>
      <b/>
      <sz val="10"/>
      <color rgb="FF000000"/>
      <name val="Calibri"/>
      <family val="2"/>
    </font>
    <font>
      <sz val="10"/>
      <color rgb="FF000000"/>
      <name val="Calibri"/>
      <family val="2"/>
    </font>
    <font>
      <sz val="10"/>
      <name val="Calibri"/>
      <family val="2"/>
      <scheme val="minor"/>
    </font>
    <font>
      <sz val="10"/>
      <color theme="1"/>
      <name val="Calibri"/>
      <family val="2"/>
    </font>
    <font>
      <b/>
      <sz val="11"/>
      <color theme="1"/>
      <name val="Calibri"/>
      <family val="2"/>
      <scheme val="minor"/>
    </font>
    <font>
      <i/>
      <sz val="9"/>
      <color rgb="FF666666"/>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9">
    <xf numFmtId="0" fontId="0" fillId="0" borderId="0" xfId="0"/>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1" xfId="0" quotePrefix="1" applyNumberFormat="1" applyFont="1" applyFill="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Fill="1"/>
    <xf numFmtId="0" fontId="1" fillId="0" borderId="1" xfId="0" applyFont="1" applyFill="1" applyBorder="1"/>
    <xf numFmtId="0" fontId="0" fillId="0" borderId="0" xfId="0"/>
    <xf numFmtId="0" fontId="4" fillId="0" borderId="1" xfId="0" quotePrefix="1" applyFont="1" applyFill="1" applyBorder="1" applyAlignment="1">
      <alignment vertical="center" wrapText="1"/>
    </xf>
    <xf numFmtId="0" fontId="1" fillId="0" borderId="1" xfId="0" quotePrefix="1" applyFont="1" applyFill="1" applyBorder="1" applyAlignment="1">
      <alignment vertical="center" wrapText="1"/>
    </xf>
    <xf numFmtId="49" fontId="3" fillId="0" borderId="1" xfId="0" quotePrefix="1" applyNumberFormat="1" applyFont="1" applyFill="1" applyBorder="1" applyAlignment="1">
      <alignment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1" xfId="0" applyNumberFormat="1" applyFont="1" applyFill="1" applyBorder="1" applyAlignment="1">
      <alignment horizontal="left" vertical="center" wrapText="1"/>
    </xf>
    <xf numFmtId="0" fontId="4" fillId="0" borderId="1" xfId="0" quotePrefix="1" applyFont="1" applyFill="1" applyBorder="1" applyAlignment="1">
      <alignment horizontal="left" vertical="center" wrapText="1"/>
    </xf>
    <xf numFmtId="49" fontId="3"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49" fontId="3" fillId="0" borderId="1" xfId="0" quotePrefix="1"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49" fontId="3" fillId="0" borderId="1" xfId="0" quotePrefix="1" applyNumberFormat="1" applyFont="1" applyFill="1" applyBorder="1" applyAlignment="1">
      <alignment vertical="center" wrapText="1"/>
    </xf>
    <xf numFmtId="49" fontId="3" fillId="0" borderId="1" xfId="0" applyNumberFormat="1" applyFont="1" applyFill="1" applyBorder="1" applyAlignment="1">
      <alignment horizontal="center" vertical="center" wrapText="1"/>
    </xf>
    <xf numFmtId="0" fontId="1" fillId="0" borderId="1" xfId="0" applyFont="1" applyBorder="1"/>
    <xf numFmtId="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4" fillId="0" borderId="1" xfId="0" quotePrefix="1" applyFont="1" applyBorder="1" applyAlignment="1">
      <alignment vertical="center"/>
    </xf>
    <xf numFmtId="0" fontId="1" fillId="2" borderId="1" xfId="0" quotePrefix="1" applyFont="1" applyFill="1" applyBorder="1" applyAlignment="1">
      <alignment vertical="center" wrapText="1"/>
    </xf>
    <xf numFmtId="0" fontId="4" fillId="0" borderId="1" xfId="0" quotePrefix="1" applyFont="1" applyBorder="1" applyAlignment="1">
      <alignment horizontal="left" vertical="center" wrapText="1"/>
    </xf>
    <xf numFmtId="0" fontId="0" fillId="0" borderId="1" xfId="0" applyBorder="1"/>
    <xf numFmtId="0" fontId="1" fillId="0" borderId="3" xfId="0" applyFont="1" applyBorder="1" applyAlignment="1">
      <alignment wrapText="1"/>
    </xf>
    <xf numFmtId="0" fontId="0" fillId="0" borderId="0" xfId="0" applyFont="1"/>
    <xf numFmtId="0" fontId="6" fillId="0" borderId="0" xfId="0" applyFont="1" applyAlignment="1">
      <alignment horizontal="right" vertical="center" wrapText="1"/>
    </xf>
    <xf numFmtId="0" fontId="0" fillId="0" borderId="0" xfId="0" applyFont="1" applyAlignment="1">
      <alignment wrapText="1"/>
    </xf>
    <xf numFmtId="0" fontId="6" fillId="0" borderId="0" xfId="0" applyFont="1" applyFill="1" applyAlignment="1">
      <alignment horizontal="right" vertical="center"/>
    </xf>
    <xf numFmtId="0" fontId="0" fillId="0" borderId="0" xfId="0" applyFont="1" applyFill="1" applyAlignment="1">
      <alignment wrapText="1"/>
    </xf>
    <xf numFmtId="0" fontId="6" fillId="0" borderId="0" xfId="0" applyFont="1" applyAlignment="1">
      <alignment horizontal="left"/>
    </xf>
    <xf numFmtId="0" fontId="7" fillId="0" borderId="0" xfId="0" applyFont="1" applyAlignment="1">
      <alignment horizontal="left" vertical="center" wrapText="1"/>
    </xf>
    <xf numFmtId="0" fontId="2" fillId="0" borderId="4" xfId="0" applyFont="1" applyFill="1" applyBorder="1" applyAlignment="1">
      <alignment horizontal="center" vertical="top" wrapText="1"/>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178415</xdr:rowOff>
    </xdr:from>
    <xdr:to>
      <xdr:col>8</xdr:col>
      <xdr:colOff>134114</xdr:colOff>
      <xdr:row>12</xdr:row>
      <xdr:rowOff>190499</xdr:rowOff>
    </xdr:to>
    <xdr:pic>
      <xdr:nvPicPr>
        <xdr:cNvPr id="2" name="Picture 1" descr="http://jhs.jsums.edu/jhsinfo/Portals/0/images/JHS_logo_2011.jpg"/>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24675" y="149840"/>
          <a:ext cx="3163064" cy="3183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18"/>
  <sheetViews>
    <sheetView showGridLines="0" workbookViewId="0"/>
  </sheetViews>
  <sheetFormatPr defaultColWidth="9.109375" defaultRowHeight="14.4" x14ac:dyDescent="0.3"/>
  <cols>
    <col min="1" max="1" width="3.44140625" style="9" customWidth="1"/>
    <col min="2" max="2" width="16.6640625" style="9" bestFit="1" customWidth="1"/>
    <col min="3" max="3" width="83.44140625" style="39" customWidth="1"/>
    <col min="4" max="16384" width="9.109375" style="9"/>
  </cols>
  <sheetData>
    <row r="1" spans="2:3" ht="12" customHeight="1" x14ac:dyDescent="0.3"/>
    <row r="2" spans="2:3" x14ac:dyDescent="0.3">
      <c r="B2" s="44" t="s">
        <v>73</v>
      </c>
      <c r="C2" s="44"/>
    </row>
    <row r="3" spans="2:3" ht="40.5" customHeight="1" x14ac:dyDescent="0.3">
      <c r="B3" s="45" t="s">
        <v>74</v>
      </c>
      <c r="C3" s="45"/>
    </row>
    <row r="5" spans="2:3" ht="28.8" x14ac:dyDescent="0.3">
      <c r="B5" s="40" t="s">
        <v>75</v>
      </c>
      <c r="C5" s="41" t="s">
        <v>76</v>
      </c>
    </row>
    <row r="6" spans="2:3" ht="28.8" x14ac:dyDescent="0.3">
      <c r="B6" s="42" t="s">
        <v>77</v>
      </c>
      <c r="C6" s="43" t="s">
        <v>78</v>
      </c>
    </row>
    <row r="7" spans="2:3" ht="28.8" x14ac:dyDescent="0.3">
      <c r="B7" s="42" t="s">
        <v>79</v>
      </c>
      <c r="C7" s="41" t="s">
        <v>80</v>
      </c>
    </row>
    <row r="18" ht="15" customHeight="1" x14ac:dyDescent="0.3"/>
  </sheetData>
  <mergeCells count="2">
    <mergeCell ref="B2:C2"/>
    <mergeCell ref="B3:C3"/>
  </mergeCells>
  <printOptions horizontalCentered="1" verticalCentered="1"/>
  <pageMargins left="0.7" right="0.7" top="0.75" bottom="0.75" header="0.3" footer="0.3"/>
  <pageSetup fitToHeight="0" orientation="landscape"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showGridLines="0" zoomScaleNormal="100" workbookViewId="0">
      <selection activeCell="G1" sqref="G1"/>
    </sheetView>
  </sheetViews>
  <sheetFormatPr defaultRowHeight="14.4" x14ac:dyDescent="0.3"/>
  <cols>
    <col min="1" max="1" width="18.6640625" customWidth="1"/>
    <col min="2" max="2" width="6.6640625" bestFit="1" customWidth="1"/>
    <col min="3" max="3" width="3.6640625" bestFit="1" customWidth="1"/>
    <col min="4" max="4" width="11.33203125" bestFit="1" customWidth="1"/>
    <col min="5" max="5" width="31.5546875" customWidth="1"/>
    <col min="6" max="6" width="15" style="7" bestFit="1" customWidth="1"/>
    <col min="7" max="7" width="34.5546875" bestFit="1" customWidth="1"/>
    <col min="8" max="8" width="56.6640625" bestFit="1" customWidth="1"/>
    <col min="9" max="9" width="22" bestFit="1" customWidth="1"/>
    <col min="10" max="10" width="20.6640625" customWidth="1"/>
    <col min="11" max="11" width="22" customWidth="1"/>
    <col min="12" max="12" width="9.6640625" bestFit="1" customWidth="1"/>
  </cols>
  <sheetData>
    <row r="1" spans="1:12" ht="27.6" x14ac:dyDescent="0.3">
      <c r="A1" s="1" t="s">
        <v>0</v>
      </c>
      <c r="B1" s="1" t="s">
        <v>1</v>
      </c>
      <c r="C1" s="1" t="s">
        <v>2</v>
      </c>
      <c r="D1" s="1" t="s">
        <v>3</v>
      </c>
      <c r="E1" s="1" t="s">
        <v>4</v>
      </c>
      <c r="F1" s="2" t="s">
        <v>5</v>
      </c>
      <c r="G1" s="1" t="s">
        <v>6</v>
      </c>
      <c r="H1" s="2" t="s">
        <v>7</v>
      </c>
      <c r="I1" s="2" t="s">
        <v>12</v>
      </c>
      <c r="J1" s="2" t="s">
        <v>8</v>
      </c>
      <c r="K1" s="1" t="s">
        <v>9</v>
      </c>
      <c r="L1" s="1" t="s">
        <v>10</v>
      </c>
    </row>
    <row r="2" spans="1:12" ht="69" x14ac:dyDescent="0.3">
      <c r="A2" s="46" t="s">
        <v>36</v>
      </c>
      <c r="B2" s="3">
        <v>1</v>
      </c>
      <c r="C2" s="5">
        <v>1</v>
      </c>
      <c r="D2" s="17" t="s">
        <v>28</v>
      </c>
      <c r="E2" s="17" t="s">
        <v>27</v>
      </c>
      <c r="F2" s="4" t="s">
        <v>14</v>
      </c>
      <c r="G2" s="15" t="s">
        <v>40</v>
      </c>
      <c r="H2" s="29" t="s">
        <v>54</v>
      </c>
      <c r="I2" s="14"/>
      <c r="J2" s="8"/>
      <c r="K2" s="8"/>
      <c r="L2" s="8"/>
    </row>
    <row r="3" spans="1:12" s="9" customFormat="1" x14ac:dyDescent="0.3">
      <c r="A3" s="47"/>
      <c r="B3" s="17">
        <v>1</v>
      </c>
      <c r="C3" s="13">
        <f>C2+1</f>
        <v>2</v>
      </c>
      <c r="D3" s="17" t="s">
        <v>48</v>
      </c>
      <c r="E3" s="25" t="s">
        <v>69</v>
      </c>
      <c r="F3" s="4" t="s">
        <v>34</v>
      </c>
      <c r="G3" s="15" t="s">
        <v>49</v>
      </c>
      <c r="H3" s="12" t="s">
        <v>50</v>
      </c>
      <c r="I3" s="14" t="s">
        <v>51</v>
      </c>
      <c r="J3" s="8"/>
      <c r="K3" s="8"/>
      <c r="L3" s="8"/>
    </row>
    <row r="4" spans="1:12" ht="96.6" x14ac:dyDescent="0.3">
      <c r="A4" s="47"/>
      <c r="B4" s="3">
        <v>1</v>
      </c>
      <c r="C4" s="13">
        <f t="shared" ref="C4:C7" si="0">C3+1</f>
        <v>3</v>
      </c>
      <c r="D4" s="17" t="s">
        <v>29</v>
      </c>
      <c r="E4" s="16" t="s">
        <v>30</v>
      </c>
      <c r="F4" s="4" t="s">
        <v>35</v>
      </c>
      <c r="G4" s="15" t="s">
        <v>70</v>
      </c>
      <c r="H4" s="11" t="s">
        <v>96</v>
      </c>
      <c r="I4" s="14"/>
      <c r="J4" s="8"/>
      <c r="K4" s="8"/>
      <c r="L4" s="8"/>
    </row>
    <row r="5" spans="1:12" ht="27.6" x14ac:dyDescent="0.3">
      <c r="A5" s="47"/>
      <c r="B5" s="3">
        <v>1</v>
      </c>
      <c r="C5" s="33">
        <f t="shared" si="0"/>
        <v>4</v>
      </c>
      <c r="D5" s="17" t="s">
        <v>37</v>
      </c>
      <c r="E5" s="16" t="s">
        <v>44</v>
      </c>
      <c r="F5" s="20" t="s">
        <v>38</v>
      </c>
      <c r="G5" s="15" t="s">
        <v>72</v>
      </c>
      <c r="H5" s="11"/>
      <c r="I5" s="21" t="s">
        <v>39</v>
      </c>
      <c r="J5" s="21"/>
      <c r="K5" s="22"/>
      <c r="L5" s="37"/>
    </row>
    <row r="6" spans="1:12" ht="27.6" x14ac:dyDescent="0.3">
      <c r="A6" s="47"/>
      <c r="B6" s="3">
        <v>1</v>
      </c>
      <c r="C6" s="33">
        <f t="shared" si="0"/>
        <v>5</v>
      </c>
      <c r="D6" s="17" t="s">
        <v>31</v>
      </c>
      <c r="E6" s="16" t="s">
        <v>32</v>
      </c>
      <c r="F6" s="20" t="s">
        <v>34</v>
      </c>
      <c r="G6" s="15" t="s">
        <v>41</v>
      </c>
      <c r="H6" s="19" t="s">
        <v>42</v>
      </c>
      <c r="I6" s="21" t="s">
        <v>43</v>
      </c>
      <c r="J6" s="8"/>
      <c r="K6" s="8"/>
      <c r="L6" s="8"/>
    </row>
    <row r="7" spans="1:12" ht="41.4" x14ac:dyDescent="0.3">
      <c r="A7" s="48"/>
      <c r="B7" s="3">
        <v>1</v>
      </c>
      <c r="C7" s="33">
        <f t="shared" si="0"/>
        <v>6</v>
      </c>
      <c r="D7" s="17" t="s">
        <v>45</v>
      </c>
      <c r="E7" s="16" t="s">
        <v>33</v>
      </c>
      <c r="F7" s="18" t="s">
        <v>58</v>
      </c>
      <c r="G7" s="15" t="s">
        <v>46</v>
      </c>
      <c r="H7" s="10"/>
      <c r="I7" s="14" t="s">
        <v>47</v>
      </c>
      <c r="J7" s="8"/>
      <c r="K7" s="8"/>
      <c r="L7" s="8"/>
    </row>
  </sheetData>
  <mergeCells count="1">
    <mergeCell ref="A2:A7"/>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showGridLines="0" tabSelected="1" workbookViewId="0">
      <pane xSplit="1" ySplit="1" topLeftCell="D2" activePane="bottomRight" state="frozen"/>
      <selection pane="topRight" activeCell="B1" sqref="B1"/>
      <selection pane="bottomLeft" activeCell="A2" sqref="A2"/>
      <selection pane="bottomRight" activeCell="G7" sqref="G7"/>
    </sheetView>
  </sheetViews>
  <sheetFormatPr defaultRowHeight="14.4" x14ac:dyDescent="0.3"/>
  <cols>
    <col min="1" max="1" width="18.6640625" customWidth="1"/>
    <col min="4" max="4" width="17.109375" customWidth="1"/>
    <col min="5" max="5" width="28.88671875" bestFit="1" customWidth="1"/>
    <col min="6" max="6" width="12.6640625" style="6" customWidth="1"/>
    <col min="7" max="7" width="53.44140625" customWidth="1"/>
    <col min="8" max="8" width="67.5546875" customWidth="1"/>
    <col min="9" max="9" width="16.88671875" customWidth="1"/>
    <col min="11" max="11" width="49.6640625" bestFit="1" customWidth="1"/>
    <col min="12" max="12" width="9.6640625" bestFit="1" customWidth="1"/>
  </cols>
  <sheetData>
    <row r="1" spans="1:12" ht="15" customHeight="1" x14ac:dyDescent="0.3">
      <c r="A1" s="23" t="s">
        <v>0</v>
      </c>
      <c r="B1" s="23" t="s">
        <v>1</v>
      </c>
      <c r="C1" s="23" t="s">
        <v>2</v>
      </c>
      <c r="D1" s="23" t="s">
        <v>3</v>
      </c>
      <c r="E1" s="23" t="s">
        <v>4</v>
      </c>
      <c r="F1" s="24" t="s">
        <v>5</v>
      </c>
      <c r="G1" s="23" t="s">
        <v>6</v>
      </c>
      <c r="H1" s="24" t="s">
        <v>7</v>
      </c>
      <c r="I1" s="24" t="s">
        <v>12</v>
      </c>
      <c r="J1" s="24" t="s">
        <v>8</v>
      </c>
      <c r="K1" s="23" t="s">
        <v>9</v>
      </c>
      <c r="L1" s="23" t="s">
        <v>10</v>
      </c>
    </row>
    <row r="2" spans="1:12" x14ac:dyDescent="0.3">
      <c r="A2" s="46" t="s">
        <v>17</v>
      </c>
      <c r="B2" s="25">
        <v>2</v>
      </c>
      <c r="C2" s="33">
        <v>1</v>
      </c>
      <c r="D2" s="25" t="s">
        <v>13</v>
      </c>
      <c r="E2" s="25" t="s">
        <v>62</v>
      </c>
      <c r="F2" s="27" t="s">
        <v>14</v>
      </c>
      <c r="G2" s="28" t="s">
        <v>15</v>
      </c>
      <c r="H2" s="29" t="s">
        <v>16</v>
      </c>
      <c r="I2" s="33" t="s">
        <v>26</v>
      </c>
      <c r="J2" s="31"/>
      <c r="K2" s="31"/>
      <c r="L2" s="31"/>
    </row>
    <row r="3" spans="1:12" ht="15" customHeight="1" x14ac:dyDescent="0.3">
      <c r="A3" s="47"/>
      <c r="B3" s="25">
        <v>2</v>
      </c>
      <c r="C3" s="33">
        <v>2</v>
      </c>
      <c r="D3" s="25" t="s">
        <v>18</v>
      </c>
      <c r="E3" s="26" t="s">
        <v>27</v>
      </c>
      <c r="F3" s="27" t="s">
        <v>14</v>
      </c>
      <c r="G3" s="28" t="s">
        <v>81</v>
      </c>
      <c r="H3" s="34"/>
      <c r="I3" s="33" t="s">
        <v>26</v>
      </c>
      <c r="J3" s="31"/>
      <c r="K3" s="22" t="s">
        <v>59</v>
      </c>
      <c r="L3" s="31"/>
    </row>
    <row r="4" spans="1:12" ht="27.6" x14ac:dyDescent="0.3">
      <c r="A4" s="47"/>
      <c r="B4" s="25">
        <v>2</v>
      </c>
      <c r="C4" s="33">
        <f>C3+1</f>
        <v>3</v>
      </c>
      <c r="D4" s="25" t="s">
        <v>52</v>
      </c>
      <c r="E4" s="26" t="s">
        <v>63</v>
      </c>
      <c r="F4" s="30" t="s">
        <v>11</v>
      </c>
      <c r="G4" s="28" t="s">
        <v>53</v>
      </c>
      <c r="H4" s="36" t="s">
        <v>55</v>
      </c>
      <c r="I4" s="33" t="s">
        <v>26</v>
      </c>
      <c r="J4" s="31"/>
      <c r="K4" s="38"/>
      <c r="L4" s="31"/>
    </row>
    <row r="5" spans="1:12" s="9" customFormat="1" x14ac:dyDescent="0.3">
      <c r="A5" s="47"/>
      <c r="B5" s="25">
        <v>2</v>
      </c>
      <c r="C5" s="33">
        <f t="shared" ref="C5:C9" si="0">C4+1</f>
        <v>4</v>
      </c>
      <c r="D5" s="25" t="s">
        <v>60</v>
      </c>
      <c r="E5" s="26" t="s">
        <v>64</v>
      </c>
      <c r="F5" s="27" t="s">
        <v>14</v>
      </c>
      <c r="G5" s="28" t="s">
        <v>61</v>
      </c>
      <c r="H5" s="34"/>
      <c r="I5" s="33" t="s">
        <v>26</v>
      </c>
      <c r="J5" s="31"/>
      <c r="K5" s="31"/>
      <c r="L5" s="31"/>
    </row>
    <row r="6" spans="1:12" s="9" customFormat="1" x14ac:dyDescent="0.3">
      <c r="A6" s="47"/>
      <c r="B6" s="25">
        <v>2</v>
      </c>
      <c r="C6" s="33">
        <f t="shared" si="0"/>
        <v>5</v>
      </c>
      <c r="D6" s="25" t="s">
        <v>57</v>
      </c>
      <c r="E6" s="26" t="s">
        <v>65</v>
      </c>
      <c r="F6" s="30" t="s">
        <v>11</v>
      </c>
      <c r="G6" s="28" t="s">
        <v>82</v>
      </c>
      <c r="H6" s="36" t="s">
        <v>71</v>
      </c>
      <c r="I6" s="33" t="s">
        <v>26</v>
      </c>
      <c r="J6" s="31"/>
      <c r="K6" s="31"/>
      <c r="L6" s="31"/>
    </row>
    <row r="7" spans="1:12" ht="82.8" x14ac:dyDescent="0.3">
      <c r="A7" s="47"/>
      <c r="B7" s="25">
        <v>2</v>
      </c>
      <c r="C7" s="33">
        <f t="shared" si="0"/>
        <v>6</v>
      </c>
      <c r="D7" s="25" t="s">
        <v>19</v>
      </c>
      <c r="E7" s="25" t="s">
        <v>66</v>
      </c>
      <c r="F7" s="32">
        <v>50</v>
      </c>
      <c r="G7" s="28" t="s">
        <v>20</v>
      </c>
      <c r="H7" s="35" t="s">
        <v>97</v>
      </c>
      <c r="I7" s="33" t="s">
        <v>26</v>
      </c>
      <c r="J7" s="31"/>
      <c r="K7" s="31"/>
      <c r="L7" s="31"/>
    </row>
    <row r="8" spans="1:12" x14ac:dyDescent="0.3">
      <c r="A8" s="47"/>
      <c r="B8" s="25">
        <v>2</v>
      </c>
      <c r="C8" s="33">
        <f t="shared" si="0"/>
        <v>7</v>
      </c>
      <c r="D8" s="25" t="s">
        <v>21</v>
      </c>
      <c r="E8" s="26" t="s">
        <v>67</v>
      </c>
      <c r="F8" s="30" t="s">
        <v>11</v>
      </c>
      <c r="G8" s="28" t="s">
        <v>25</v>
      </c>
      <c r="H8" s="10" t="s">
        <v>93</v>
      </c>
      <c r="I8" s="33" t="s">
        <v>26</v>
      </c>
      <c r="J8" s="31"/>
      <c r="K8" s="31"/>
      <c r="L8" s="31"/>
    </row>
    <row r="9" spans="1:12" ht="55.2" x14ac:dyDescent="0.3">
      <c r="A9" s="48"/>
      <c r="B9" s="25">
        <v>2</v>
      </c>
      <c r="C9" s="33">
        <f t="shared" si="0"/>
        <v>8</v>
      </c>
      <c r="D9" s="25" t="s">
        <v>23</v>
      </c>
      <c r="E9" s="26" t="s">
        <v>68</v>
      </c>
      <c r="F9" s="30" t="s">
        <v>22</v>
      </c>
      <c r="G9" s="28" t="s">
        <v>24</v>
      </c>
      <c r="H9" s="35" t="s">
        <v>56</v>
      </c>
      <c r="I9" s="33" t="s">
        <v>26</v>
      </c>
      <c r="J9" s="31"/>
      <c r="K9" s="31"/>
      <c r="L9" s="31"/>
    </row>
  </sheetData>
  <mergeCells count="1">
    <mergeCell ref="A2:A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activeCell="G7" sqref="G7"/>
    </sheetView>
  </sheetViews>
  <sheetFormatPr defaultColWidth="9.109375" defaultRowHeight="14.4" x14ac:dyDescent="0.3"/>
  <cols>
    <col min="1" max="1" width="18.6640625" style="9" customWidth="1"/>
    <col min="2" max="3" width="9.109375" style="9"/>
    <col min="4" max="4" width="17.109375" style="9" customWidth="1"/>
    <col min="5" max="5" width="28.88671875" style="9" bestFit="1" customWidth="1"/>
    <col min="6" max="6" width="12.6640625" style="6" customWidth="1"/>
    <col min="7" max="7" width="53.44140625" style="9" customWidth="1"/>
    <col min="8" max="8" width="67.5546875" style="9" customWidth="1"/>
    <col min="9" max="9" width="16.88671875" style="9" customWidth="1"/>
    <col min="10" max="10" width="9.109375" style="9"/>
    <col min="11" max="11" width="49.6640625" style="9" bestFit="1" customWidth="1"/>
    <col min="12" max="12" width="9.6640625" style="9" bestFit="1" customWidth="1"/>
    <col min="13" max="16384" width="9.109375" style="9"/>
  </cols>
  <sheetData>
    <row r="1" spans="1:12" ht="15" customHeight="1" x14ac:dyDescent="0.3">
      <c r="A1" s="23" t="s">
        <v>0</v>
      </c>
      <c r="B1" s="23" t="s">
        <v>1</v>
      </c>
      <c r="C1" s="23" t="s">
        <v>2</v>
      </c>
      <c r="D1" s="23" t="s">
        <v>3</v>
      </c>
      <c r="E1" s="23" t="s">
        <v>4</v>
      </c>
      <c r="F1" s="24" t="s">
        <v>5</v>
      </c>
      <c r="G1" s="23" t="s">
        <v>6</v>
      </c>
      <c r="H1" s="24" t="s">
        <v>7</v>
      </c>
      <c r="I1" s="24" t="s">
        <v>12</v>
      </c>
      <c r="J1" s="24" t="s">
        <v>8</v>
      </c>
      <c r="K1" s="23" t="s">
        <v>9</v>
      </c>
      <c r="L1" s="23" t="s">
        <v>10</v>
      </c>
    </row>
    <row r="2" spans="1:12" x14ac:dyDescent="0.3">
      <c r="A2" s="46" t="s">
        <v>83</v>
      </c>
      <c r="B2" s="25">
        <v>4</v>
      </c>
      <c r="C2" s="33">
        <v>1</v>
      </c>
      <c r="D2" s="25" t="s">
        <v>13</v>
      </c>
      <c r="E2" s="25" t="s">
        <v>62</v>
      </c>
      <c r="F2" s="27" t="s">
        <v>14</v>
      </c>
      <c r="G2" s="28" t="s">
        <v>15</v>
      </c>
      <c r="H2" s="29" t="s">
        <v>16</v>
      </c>
      <c r="I2" s="33" t="s">
        <v>88</v>
      </c>
      <c r="J2" s="31"/>
      <c r="K2" s="31"/>
      <c r="L2" s="31"/>
    </row>
    <row r="3" spans="1:12" ht="15" customHeight="1" x14ac:dyDescent="0.3">
      <c r="A3" s="47"/>
      <c r="B3" s="25">
        <v>4</v>
      </c>
      <c r="C3" s="33">
        <v>2</v>
      </c>
      <c r="D3" s="25" t="s">
        <v>84</v>
      </c>
      <c r="E3" s="25" t="s">
        <v>91</v>
      </c>
      <c r="F3" s="27" t="s">
        <v>14</v>
      </c>
      <c r="G3" s="28" t="s">
        <v>94</v>
      </c>
      <c r="H3" s="29" t="s">
        <v>89</v>
      </c>
      <c r="I3" s="33" t="s">
        <v>88</v>
      </c>
      <c r="J3" s="31"/>
      <c r="K3" s="22"/>
      <c r="L3" s="31"/>
    </row>
    <row r="4" spans="1:12" x14ac:dyDescent="0.3">
      <c r="A4" s="47"/>
      <c r="B4" s="25">
        <v>4</v>
      </c>
      <c r="C4" s="33">
        <f>C3+1</f>
        <v>3</v>
      </c>
      <c r="D4" s="25" t="s">
        <v>85</v>
      </c>
      <c r="E4" s="25" t="s">
        <v>92</v>
      </c>
      <c r="F4" s="27" t="s">
        <v>14</v>
      </c>
      <c r="G4" s="28" t="s">
        <v>95</v>
      </c>
      <c r="H4" s="36" t="s">
        <v>90</v>
      </c>
      <c r="I4" s="33" t="s">
        <v>88</v>
      </c>
      <c r="J4" s="31"/>
      <c r="K4" s="38"/>
      <c r="L4" s="31"/>
    </row>
    <row r="5" spans="1:12" x14ac:dyDescent="0.3">
      <c r="A5" s="47"/>
      <c r="B5" s="25">
        <v>4</v>
      </c>
      <c r="C5" s="33">
        <f t="shared" ref="C5" si="0">C4+1</f>
        <v>4</v>
      </c>
      <c r="D5" s="25" t="s">
        <v>86</v>
      </c>
      <c r="E5" s="26" t="s">
        <v>87</v>
      </c>
      <c r="F5" s="27" t="s">
        <v>11</v>
      </c>
      <c r="G5" s="28" t="s">
        <v>87</v>
      </c>
      <c r="H5" s="34" t="s">
        <v>86</v>
      </c>
      <c r="I5" s="33" t="s">
        <v>88</v>
      </c>
      <c r="J5" s="31"/>
      <c r="K5" s="31"/>
      <c r="L5" s="31"/>
    </row>
  </sheetData>
  <mergeCells count="1">
    <mergeCell ref="A2: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Cohort</vt:lpstr>
      <vt:lpstr>deathltfucohort</vt:lpstr>
      <vt:lpstr>visitdat</vt:lpstr>
    </vt:vector>
  </TitlesOfParts>
  <Company>University of Mississippi Medical Center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R. Seals</dc:creator>
  <cp:lastModifiedBy>Loretta Cain</cp:lastModifiedBy>
  <dcterms:created xsi:type="dcterms:W3CDTF">2013-12-08T03:04:18Z</dcterms:created>
  <dcterms:modified xsi:type="dcterms:W3CDTF">2018-04-09T17:27:42Z</dcterms:modified>
  <cp:contentStatus/>
</cp:coreProperties>
</file>